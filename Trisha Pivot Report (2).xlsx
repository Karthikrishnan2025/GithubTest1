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4380" windowHeight="5000"/>
  </bookViews>
  <sheets>
    <sheet name="FileName" sheetId="1" r:id="rId1"/>
    <sheet name="Pivot Source" sheetId="3" state="hidden" r:id="rId2"/>
    <sheet name="Pivot Report" sheetId="4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3" i="1" l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2" i="1"/>
</calcChain>
</file>

<file path=xl/sharedStrings.xml><?xml version="1.0" encoding="utf-8"?>
<sst xmlns="http://schemas.openxmlformats.org/spreadsheetml/2006/main" count="1317" uniqueCount="316">
  <si>
    <t>Job Offer ID</t>
  </si>
  <si>
    <t>Application Id</t>
  </si>
  <si>
    <t>Location</t>
  </si>
  <si>
    <t>Call Date</t>
  </si>
  <si>
    <t>Salutation</t>
  </si>
  <si>
    <t>Name of the Candidate</t>
  </si>
  <si>
    <t>Fresher/Experienced</t>
  </si>
  <si>
    <t>10th % age</t>
  </si>
  <si>
    <t>12th % age</t>
  </si>
  <si>
    <t>Position</t>
  </si>
  <si>
    <t>Functional Area</t>
  </si>
  <si>
    <t>Recruiter</t>
  </si>
  <si>
    <t>Source</t>
  </si>
  <si>
    <t>Source Name</t>
  </si>
  <si>
    <t>Call Status</t>
  </si>
  <si>
    <t>HR Interviewer</t>
  </si>
  <si>
    <t>HR Interview Date</t>
  </si>
  <si>
    <t>Status (HR)</t>
  </si>
  <si>
    <t>LinedUp For</t>
  </si>
  <si>
    <t>LinedUp Location</t>
  </si>
  <si>
    <t>LinedUp Manager</t>
  </si>
  <si>
    <t>Confirmation Status</t>
  </si>
  <si>
    <t>Reason</t>
  </si>
  <si>
    <t>ReScheduled Date</t>
  </si>
  <si>
    <t>Turned Up Date</t>
  </si>
  <si>
    <t>Interview1 Date</t>
  </si>
  <si>
    <t>Technical Interviewer 1</t>
  </si>
  <si>
    <t>Status (Tech 1)</t>
  </si>
  <si>
    <t>Interview2 Date</t>
  </si>
  <si>
    <t>Technical Interviewer 2</t>
  </si>
  <si>
    <t>Status (Tech 2)</t>
  </si>
  <si>
    <t>Pre Joining Status</t>
  </si>
  <si>
    <t>Remarks</t>
  </si>
  <si>
    <t>Joining Status</t>
  </si>
  <si>
    <t>Vertical</t>
  </si>
  <si>
    <t>Joining Date</t>
  </si>
  <si>
    <t>Joining Month</t>
  </si>
  <si>
    <t>Email</t>
  </si>
  <si>
    <t>Mobile</t>
  </si>
  <si>
    <t>Feedback Type</t>
  </si>
  <si>
    <t>Rejected Stage</t>
  </si>
  <si>
    <t>NI Comment</t>
  </si>
  <si>
    <t>Offered Monthly Salary</t>
  </si>
  <si>
    <t>Recall Date</t>
  </si>
  <si>
    <t>Offer letter Issue Date</t>
  </si>
  <si>
    <t>Issue Month</t>
  </si>
  <si>
    <t>Reject Reason Final</t>
  </si>
  <si>
    <t>Hiring Manager</t>
  </si>
  <si>
    <t>6a8d6d1751272959534c3f8e</t>
  </si>
  <si>
    <t>ROTN/Kerala-Coimbatore</t>
  </si>
  <si>
    <t>Mr.</t>
  </si>
  <si>
    <t>Karthick P</t>
  </si>
  <si>
    <t>Experience</t>
  </si>
  <si>
    <t>Sr. Executive</t>
  </si>
  <si>
    <t>Client Acquisition</t>
  </si>
  <si>
    <t>Thirisha Dharshini Sakthivel</t>
  </si>
  <si>
    <t>Custom</t>
  </si>
  <si>
    <t>Rehire</t>
  </si>
  <si>
    <t>Interested</t>
  </si>
  <si>
    <t>Thirisha Dharshini Sakthivel - 116534</t>
  </si>
  <si>
    <t>Selected</t>
  </si>
  <si>
    <t>Sundar Raj. K</t>
  </si>
  <si>
    <t>Confirmed</t>
  </si>
  <si>
    <t>Sundar Raj. K - 90499</t>
  </si>
  <si>
    <t>Raja K - 47227</t>
  </si>
  <si>
    <t>Joined</t>
  </si>
  <si>
    <t>NSD Top Cities - Inhouse FSF</t>
  </si>
  <si>
    <t>cr7karthick@gmail.com</t>
  </si>
  <si>
    <t>Jayanthi S - 112389</t>
  </si>
  <si>
    <t>6a74778f7c130d6041565060</t>
  </si>
  <si>
    <t>SNW-Erode*</t>
  </si>
  <si>
    <t>PRASANTH K</t>
  </si>
  <si>
    <t>Assistant Manager</t>
  </si>
  <si>
    <t>Client Servicing</t>
  </si>
  <si>
    <t>Referral</t>
  </si>
  <si>
    <t>Kamalesh D - 118304</t>
  </si>
  <si>
    <t>R.Thirumurugan</t>
  </si>
  <si>
    <t>R.Thirumurugan - 107742</t>
  </si>
  <si>
    <t>CSD</t>
  </si>
  <si>
    <t>prasanthk062002@gmail.com</t>
  </si>
  <si>
    <t>6a6993a69447def9d8193732</t>
  </si>
  <si>
    <t>Yogesh N</t>
  </si>
  <si>
    <t>Sudarsan R - 118728</t>
  </si>
  <si>
    <t>Ramesh T.</t>
  </si>
  <si>
    <t>Rajkumar Chandran - 32568</t>
  </si>
  <si>
    <t>yogeshnallusamy13@gmail.com</t>
  </si>
  <si>
    <t>6a67367901150b1391193b81</t>
  </si>
  <si>
    <t>SATHYANANDHAN M</t>
  </si>
  <si>
    <t>Manager</t>
  </si>
  <si>
    <t>Client Servicing KCD</t>
  </si>
  <si>
    <t>Hariharan E - 119971</t>
  </si>
  <si>
    <t>Arunraj M.</t>
  </si>
  <si>
    <t>KCD</t>
  </si>
  <si>
    <t>sathyanandhanvj@gmail.com</t>
  </si>
  <si>
    <t>6a58a4ad59bf203aed056436</t>
  </si>
  <si>
    <t>Sanjay S</t>
  </si>
  <si>
    <t>Pavithiran S - 123402</t>
  </si>
  <si>
    <t>sanjayshri2004@gmail.com</t>
  </si>
  <si>
    <t>6a4e12b58e987dcafeff8069</t>
  </si>
  <si>
    <t>ROTN/Kerala-Tirupur</t>
  </si>
  <si>
    <t>NANDHA KUMAR N</t>
  </si>
  <si>
    <t>Vigneshbalan S - 121426</t>
  </si>
  <si>
    <t>Sukumar R - 120378</t>
  </si>
  <si>
    <t>nandhu.nataraj13@gmail.com</t>
  </si>
  <si>
    <t>6a4ce01a8e987dcafeff71f4</t>
  </si>
  <si>
    <t>ROTN/Kerala-Madurai</t>
  </si>
  <si>
    <t>Thenpandi Singam T</t>
  </si>
  <si>
    <t>Fresher</t>
  </si>
  <si>
    <t>Executive</t>
  </si>
  <si>
    <t>Srinivasan M - 124173</t>
  </si>
  <si>
    <t>G A Senthilkumar</t>
  </si>
  <si>
    <t>G A Senthilkumar - 47995</t>
  </si>
  <si>
    <t>thenpandivelur@gmail.com</t>
  </si>
  <si>
    <t>6a4cb9db8e987dcafeff6b96</t>
  </si>
  <si>
    <t>Selva krishnan S</t>
  </si>
  <si>
    <t>Direct</t>
  </si>
  <si>
    <t>selvakrishnans804@gmail.com</t>
  </si>
  <si>
    <t>6a4cac447cecbc496a044944</t>
  </si>
  <si>
    <t>MOHAMADHU AZARUTHEEN A</t>
  </si>
  <si>
    <t>Ajithkumar Gunasekaran - 113305</t>
  </si>
  <si>
    <t>Raja K</t>
  </si>
  <si>
    <t>mohamadhuazarutheen11@gmail.com</t>
  </si>
  <si>
    <t>6a339d1e15a525d3af149a5c</t>
  </si>
  <si>
    <t>PRABHU D</t>
  </si>
  <si>
    <t>Praveen R - 93415</t>
  </si>
  <si>
    <t>Vidyasagar Sekaran</t>
  </si>
  <si>
    <t>Vidyasagar Sekaran - 119483</t>
  </si>
  <si>
    <t>dhanushprabhu97@gmail.com</t>
  </si>
  <si>
    <t>6a31394bfeb5c91a755e6921</t>
  </si>
  <si>
    <t>Surya Rahul</t>
  </si>
  <si>
    <t>Yet to Join</t>
  </si>
  <si>
    <t>suryarahulseenivasan@gmail.com</t>
  </si>
  <si>
    <t>6a2906b57a7f6d4b634cf371</t>
  </si>
  <si>
    <t>ROTN/Kerala-Cochin</t>
  </si>
  <si>
    <t>AJAY ROSHAN K</t>
  </si>
  <si>
    <t>Albin Scaria</t>
  </si>
  <si>
    <t>Albin Scaria - 86336</t>
  </si>
  <si>
    <t>ajayroshan153@gmail.com</t>
  </si>
  <si>
    <t>6a27aad27a7f6d4b634cdd88</t>
  </si>
  <si>
    <t>NithishKumar M</t>
  </si>
  <si>
    <t>Adithya.K.Vora - 122265</t>
  </si>
  <si>
    <t>Chennai/Egmore 1</t>
  </si>
  <si>
    <t>Lokesh Elancheziyan</t>
  </si>
  <si>
    <t>Dilip Chakkaravarthi V - 75883</t>
  </si>
  <si>
    <t>nithishkumarmailid@gmail.com</t>
  </si>
  <si>
    <t>6a1d30c6db6e8f4d45526d46</t>
  </si>
  <si>
    <t>ROSHAN C R</t>
  </si>
  <si>
    <t>Rahul K S - 123812</t>
  </si>
  <si>
    <t>roshan888cr@gmail.com</t>
  </si>
  <si>
    <t>6a16b29426c77c8cfc7f7093</t>
  </si>
  <si>
    <t>Sarankumar S</t>
  </si>
  <si>
    <t>sarankumar260803@gmail.com</t>
  </si>
  <si>
    <t>6a1004921d07e56be61a257b</t>
  </si>
  <si>
    <t>Srinivasan M</t>
  </si>
  <si>
    <t>srinivasanmadheswaran15@gmail.com</t>
  </si>
  <si>
    <t>6a0c1695b272e5254a072775</t>
  </si>
  <si>
    <t>Kamalesh S</t>
  </si>
  <si>
    <t>Dhanushkodi - 123288</t>
  </si>
  <si>
    <t>kamaleshs2407@gmail.com</t>
  </si>
  <si>
    <t>6a05a92d6f3eb94c78debbca</t>
  </si>
  <si>
    <t>Naveen Prasanth N</t>
  </si>
  <si>
    <t>naveenprasanth1507@gmail.com</t>
  </si>
  <si>
    <t>69fc6456b2484eb87960cf54</t>
  </si>
  <si>
    <t>SIVABALAJI R</t>
  </si>
  <si>
    <t>balajisivar04@gmail.com</t>
  </si>
  <si>
    <t>69fc5a03b2484eb87960cd80</t>
  </si>
  <si>
    <t>YOGESHWAR R</t>
  </si>
  <si>
    <t>Hariram Chockkalingam - 116259</t>
  </si>
  <si>
    <t>yogeshwarramalingam29@gmail.com</t>
  </si>
  <si>
    <t>69d77646f90951788b7a881d</t>
  </si>
  <si>
    <t>Mehathab J</t>
  </si>
  <si>
    <t>Did not Join</t>
  </si>
  <si>
    <t>mehathab007@gmail.com</t>
  </si>
  <si>
    <t>69cb4ef9166587566df4d204</t>
  </si>
  <si>
    <t>Alraeez</t>
  </si>
  <si>
    <t>Job Board</t>
  </si>
  <si>
    <t>Naukri Jobs</t>
  </si>
  <si>
    <t>V Kausalya Jeyalakshmi - 122527</t>
  </si>
  <si>
    <t>Chennai/Maduravoyal</t>
  </si>
  <si>
    <t>Raghavendiran P.</t>
  </si>
  <si>
    <t>Raghavendiran P. - 37705</t>
  </si>
  <si>
    <t>alraeez333@gmail.com</t>
  </si>
  <si>
    <t>69ba9af7f6291d6febb7bb48</t>
  </si>
  <si>
    <t>PRATHAP YOBU K</t>
  </si>
  <si>
    <t>Pugalendiran R - 120060</t>
  </si>
  <si>
    <t>Srinivasan Balakrishnan</t>
  </si>
  <si>
    <t>Aravind Rajan - 89969</t>
  </si>
  <si>
    <t>prathapyobuk@gmail.com</t>
  </si>
  <si>
    <t>69b94497738aaec568ef8470</t>
  </si>
  <si>
    <t>JAYANTHAN K</t>
  </si>
  <si>
    <t>Ramsabarinathan A - 123021</t>
  </si>
  <si>
    <t>Will Join Later</t>
  </si>
  <si>
    <t>jayanthan463@gmail.com</t>
  </si>
  <si>
    <t>69b120515b4c941efb93214a</t>
  </si>
  <si>
    <t>Mohammed Haroon M</t>
  </si>
  <si>
    <t>Aravind Rajan</t>
  </si>
  <si>
    <t>hmohd9147@gmail.com</t>
  </si>
  <si>
    <t>69b104005b4c941efb931ce6</t>
  </si>
  <si>
    <t>ARNOLD EZEKIEL M</t>
  </si>
  <si>
    <t>Manorenjith K S - 116809</t>
  </si>
  <si>
    <t>Kuppuchamy S</t>
  </si>
  <si>
    <t>Kuppuchamy S - 24821</t>
  </si>
  <si>
    <t>arnoldezekiel2002@gmail.com</t>
  </si>
  <si>
    <t>69aa78ada03459c840897b1c</t>
  </si>
  <si>
    <t>Thariq Ahamed</t>
  </si>
  <si>
    <t>Lokesh Elancheziyan - 72102</t>
  </si>
  <si>
    <t>thariqahamed0706@gmail.com</t>
  </si>
  <si>
    <t>69902f092d2c1975048321cb</t>
  </si>
  <si>
    <t>SARAVANABALAJI M</t>
  </si>
  <si>
    <t>Relationship Manager</t>
  </si>
  <si>
    <t>Saaitharshan .N.M - 117574</t>
  </si>
  <si>
    <t>balajisaravanansb@gmail.com</t>
  </si>
  <si>
    <t>69902bd42d2c1975048321b7</t>
  </si>
  <si>
    <t>Azarrudheen C</t>
  </si>
  <si>
    <t>azarrudheenrafeeq@gmail.com</t>
  </si>
  <si>
    <t>697c7025151074084609cdd3</t>
  </si>
  <si>
    <t>KARTHIK RAMALINGAM</t>
  </si>
  <si>
    <t>karthikofficial1512@gmail.com</t>
  </si>
  <si>
    <t>697c5ef710e2ba49ec2bd22c</t>
  </si>
  <si>
    <t>PAVITHIRAN S</t>
  </si>
  <si>
    <t>Sathishkumar S - 120544</t>
  </si>
  <si>
    <t>Mohanraj Thangamani</t>
  </si>
  <si>
    <t>pavithiransiva1999@gmail.com</t>
  </si>
  <si>
    <t>6978b464f2360e23a1f4ebdb</t>
  </si>
  <si>
    <t>Renganathaprasath V</t>
  </si>
  <si>
    <t>Sudhakar Paul R - 112767</t>
  </si>
  <si>
    <t>prasanthvprasanth001@gmail.com</t>
  </si>
  <si>
    <t>69706c31f162c72f52b1b34b</t>
  </si>
  <si>
    <t>Jeyaraj K</t>
  </si>
  <si>
    <t>jeyarajk1920@gmail.com</t>
  </si>
  <si>
    <t>695e02d3aa7a384a16bc6134</t>
  </si>
  <si>
    <t>Ramsabarinathan A</t>
  </si>
  <si>
    <t>Aravindh Selvaraj - 115846</t>
  </si>
  <si>
    <t>sabarianand1010@gmail.com</t>
  </si>
  <si>
    <t>694e1fae9e9232f9be012925</t>
  </si>
  <si>
    <t>Sanjeevi Bharathi R</t>
  </si>
  <si>
    <t>Munishharini V - 121250</t>
  </si>
  <si>
    <t>Should Join</t>
  </si>
  <si>
    <t>He has arranged the phone</t>
  </si>
  <si>
    <t>sanjeevibharathi69@gmail.com</t>
  </si>
  <si>
    <t>Positive</t>
  </si>
  <si>
    <t>69463a1d7bf743f63126cb74</t>
  </si>
  <si>
    <t>Muthu Kumar S</t>
  </si>
  <si>
    <t>Deepak - 107247</t>
  </si>
  <si>
    <t>mkkd0526@gmail.com</t>
  </si>
  <si>
    <t>6941384f82ee0876283a1e77</t>
  </si>
  <si>
    <t>Sanjai R</t>
  </si>
  <si>
    <t>Client Servicing (KCD)</t>
  </si>
  <si>
    <t>kprsanjai@gmail.com</t>
  </si>
  <si>
    <t>693967d2ef71e6f0ca620f82</t>
  </si>
  <si>
    <t>MOHAMMED HAROON M</t>
  </si>
  <si>
    <t>Anantha krishnan K P - 88892</t>
  </si>
  <si>
    <t>6937ee7d652d058e463e1fa7</t>
  </si>
  <si>
    <t>KARTHIKEYAN C</t>
  </si>
  <si>
    <t>Sr. Account Manager</t>
  </si>
  <si>
    <t>karthikeyanchellapandi94@gmail.com</t>
  </si>
  <si>
    <t>693691fd652d058e463dbb6b</t>
  </si>
  <si>
    <t>Rahul</t>
  </si>
  <si>
    <t>K Thirukkuralarasu - 118149</t>
  </si>
  <si>
    <t>rahulsrr45@gmail.com</t>
  </si>
  <si>
    <t>692ab9e791cadf2fbefbf8d8</t>
  </si>
  <si>
    <t>SUDARSHAN V</t>
  </si>
  <si>
    <t>sudarshanvs1@gmail.com</t>
  </si>
  <si>
    <t>69297dca91cadf2fbefbc597</t>
  </si>
  <si>
    <t>Sivabalan C</t>
  </si>
  <si>
    <t>Jawahar P - 115202</t>
  </si>
  <si>
    <t>sivabalan.chellamuthu@gmail.com</t>
  </si>
  <si>
    <t>69256cb001cfbec271ea284a</t>
  </si>
  <si>
    <t>GOWTHAM P</t>
  </si>
  <si>
    <t>gowthamponnusamy103@gmail.com</t>
  </si>
  <si>
    <t>68ff506a7efc136957784ec3</t>
  </si>
  <si>
    <t>MOHAMED THOUFIC P</t>
  </si>
  <si>
    <t>mohamedthoufic86@gmail.com</t>
  </si>
  <si>
    <t>68f073a1974e12e1c1cb395b</t>
  </si>
  <si>
    <t>AZHAGARSAMY P</t>
  </si>
  <si>
    <t>Jegadeesh - 121206</t>
  </si>
  <si>
    <t>azhagar143123@gmail.com</t>
  </si>
  <si>
    <t>68d655078663b4132a837f4f</t>
  </si>
  <si>
    <t>Balaramanan</t>
  </si>
  <si>
    <t>balaramanan360@gmail.com</t>
  </si>
  <si>
    <t>68d25c208663b4132a833962</t>
  </si>
  <si>
    <t>Trichy*</t>
  </si>
  <si>
    <t>Vijay Vishnu Elamurugu</t>
  </si>
  <si>
    <t>Kaviyarasu Dhandapani</t>
  </si>
  <si>
    <t>vijayvishnuelamurugu@gmail.com</t>
  </si>
  <si>
    <t>68b2b28fbece08c4d8b5702c</t>
  </si>
  <si>
    <t>Akash - 111572</t>
  </si>
  <si>
    <t>6839ac41dd1cd42478aa82ee</t>
  </si>
  <si>
    <t>Sriman S</t>
  </si>
  <si>
    <t>S Shanthakumar Immanuel</t>
  </si>
  <si>
    <t>srircs4@gmail.com</t>
  </si>
  <si>
    <t>67d3bcaa73920b537bee665d</t>
  </si>
  <si>
    <t>Anand K</t>
  </si>
  <si>
    <t>anandvani766@gmail.com</t>
  </si>
  <si>
    <t>Month</t>
  </si>
  <si>
    <t>Offers Released</t>
  </si>
  <si>
    <t>Joined Count</t>
  </si>
  <si>
    <t>Monthly Offers Released &amp; Joined</t>
  </si>
  <si>
    <t>Grand Total</t>
  </si>
  <si>
    <t>6a99271238e0f84a05962ae8</t>
  </si>
  <si>
    <t>ADITHYA JAYAN</t>
  </si>
  <si>
    <t>V Hari Sankar - 125789</t>
  </si>
  <si>
    <t>adithyajayan2002@gmail.com</t>
  </si>
  <si>
    <t>6a70711ec8efa5579efa90c0</t>
  </si>
  <si>
    <t>THANGAPANDI P</t>
  </si>
  <si>
    <t>MIS Executive</t>
  </si>
  <si>
    <t>Business MIS</t>
  </si>
  <si>
    <t>Sanjay Kannathasan - 123161</t>
  </si>
  <si>
    <t>Shunder Kumar N</t>
  </si>
  <si>
    <t>Shunder Kumar N - 123648</t>
  </si>
  <si>
    <t>Corporate</t>
  </si>
  <si>
    <t>thangapandi98p@gmail.com</t>
  </si>
  <si>
    <t>6a7710ebd928b2e1609e020f</t>
  </si>
  <si>
    <t>Nagaprakash Rajangam</t>
  </si>
  <si>
    <t>Sarathkumar Vasudevan - 95414</t>
  </si>
  <si>
    <t>prakashraja2718@gmail.com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</si>
</sst>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\ 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9999"/>
        <bgColor indexed="64"/>
      </patternFill>
    </fill>
    <fill>
      <patternFill patternType="solid">
        <fgColor rgb="FFE3EA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7365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33" borderId="0" xfId="0" applyFont="1" applyFill="1"/>
    <xf numFmtId="0" fontId="18" fillId="33" borderId="0" xfId="0" applyFont="1" applyFill="1" applyAlignment="1">
      <alignment wrapText="1"/>
    </xf>
    <xf numFmtId="0" fontId="18" fillId="33" borderId="0" xfId="0" applyFont="1" applyFill="1" applyAlignment="1">
      <alignment horizontal="center" wrapText="1"/>
    </xf>
    <xf numFmtId="0" fontId="19" fillId="34" borderId="0" xfId="0" applyFont="1" applyFill="1"/>
    <xf numFmtId="0" fontId="19" fillId="34" borderId="0" xfId="0" applyFont="1" applyFill="1" applyAlignment="1">
      <alignment wrapText="1"/>
    </xf>
    <xf numFmtId="15" fontId="19" fillId="34" borderId="0" xfId="0" applyNumberFormat="1" applyFont="1" applyFill="1" applyAlignment="1">
      <alignment wrapText="1"/>
    </xf>
    <xf numFmtId="0" fontId="20" fillId="35" borderId="0" xfId="0" applyFont="1" applyFill="1"/>
    <xf numFmtId="0" fontId="20" fillId="35" borderId="0" xfId="0" applyFont="1" applyFill="1" applyAlignment="1">
      <alignment wrapText="1"/>
    </xf>
    <xf numFmtId="15" fontId="20" fillId="35" borderId="0" xfId="0" applyNumberFormat="1" applyFont="1" applyFill="1" applyAlignment="1">
      <alignment wrapText="1"/>
    </xf>
    <xf numFmtId="164" fontId="0" fillId="0" borderId="0" xfId="0" applyNumberFormat="1"/>
    <xf numFmtId="0" fontId="0" fillId="0" borderId="0" xfId="0" pivotButton="1"/>
    <xf numFmtId="0" fontId="21" fillId="36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mmm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6275.656353587961" createdVersion="8" refreshedVersion="8" minRefreshableVersion="3" recordCount="93">
  <cacheSource type="worksheet">
    <worksheetSource name="CombinedPivotSource"/>
  </cacheSource>
  <cacheFields count="3">
    <cacheField name="Month" numFmtId="164">
      <sharedItems containsSemiMixedTypes="0" containsNonDate="0" containsDate="1" containsString="0" minDate="2025-10-01T00:00:00" maxDate="2026-09-02T00:00:00" count="12">
        <d v="2026-09-01T00:00:00"/>
        <d v="2026-08-01T00:00:00"/>
        <d v="2026-07-01T00:00:00"/>
        <d v="2026-06-01T00:00:00"/>
        <d v="2026-05-01T00:00:00"/>
        <d v="2026-04-01T00:00:00"/>
        <d v="2026-03-01T00:00:00"/>
        <d v="2026-02-01T00:00:00"/>
        <d v="2026-01-01T00:00:00"/>
        <d v="2025-12-01T00:00:00"/>
        <d v="2025-10-01T00:00:00"/>
        <d v="2025-11-01T00:00:00"/>
      </sharedItems>
    </cacheField>
    <cacheField name="Offers Released" numFmtId="0">
      <sharedItems containsSemiMixedTypes="0" containsString="0" containsNumber="1" containsInteger="1" minValue="0" maxValue="1"/>
    </cacheField>
    <cacheField name="Joined Count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x v="0"/>
    <n v="1"/>
    <n v="0"/>
  </r>
  <r>
    <x v="0"/>
    <n v="0"/>
    <n v="1"/>
  </r>
  <r>
    <x v="1"/>
    <n v="1"/>
    <n v="0"/>
  </r>
  <r>
    <x v="1"/>
    <n v="0"/>
    <n v="1"/>
  </r>
  <r>
    <x v="2"/>
    <n v="1"/>
    <n v="0"/>
  </r>
  <r>
    <x v="1"/>
    <n v="0"/>
    <n v="1"/>
  </r>
  <r>
    <x v="2"/>
    <n v="1"/>
    <n v="0"/>
  </r>
  <r>
    <x v="1"/>
    <n v="1"/>
    <n v="0"/>
  </r>
  <r>
    <x v="1"/>
    <n v="0"/>
    <n v="1"/>
  </r>
  <r>
    <x v="2"/>
    <n v="1"/>
    <n v="0"/>
  </r>
  <r>
    <x v="1"/>
    <n v="0"/>
    <n v="1"/>
  </r>
  <r>
    <x v="2"/>
    <n v="1"/>
    <n v="0"/>
  </r>
  <r>
    <x v="2"/>
    <n v="0"/>
    <n v="1"/>
  </r>
  <r>
    <x v="2"/>
    <n v="1"/>
    <n v="0"/>
  </r>
  <r>
    <x v="1"/>
    <n v="0"/>
    <n v="1"/>
  </r>
  <r>
    <x v="2"/>
    <n v="1"/>
    <n v="0"/>
  </r>
  <r>
    <x v="2"/>
    <n v="0"/>
    <n v="1"/>
  </r>
  <r>
    <x v="2"/>
    <n v="1"/>
    <n v="0"/>
  </r>
  <r>
    <x v="2"/>
    <n v="0"/>
    <n v="1"/>
  </r>
  <r>
    <x v="0"/>
    <n v="1"/>
    <n v="0"/>
  </r>
  <r>
    <x v="3"/>
    <n v="1"/>
    <n v="0"/>
  </r>
  <r>
    <x v="3"/>
    <n v="0"/>
    <n v="1"/>
  </r>
  <r>
    <x v="2"/>
    <n v="1"/>
    <n v="0"/>
  </r>
  <r>
    <x v="2"/>
    <n v="0"/>
    <n v="1"/>
  </r>
  <r>
    <x v="3"/>
    <n v="1"/>
    <n v="0"/>
  </r>
  <r>
    <x v="3"/>
    <n v="0"/>
    <n v="1"/>
  </r>
  <r>
    <x v="3"/>
    <n v="1"/>
    <n v="0"/>
  </r>
  <r>
    <x v="3"/>
    <n v="0"/>
    <n v="1"/>
  </r>
  <r>
    <x v="4"/>
    <n v="1"/>
    <n v="0"/>
  </r>
  <r>
    <x v="4"/>
    <n v="0"/>
    <n v="1"/>
  </r>
  <r>
    <x v="4"/>
    <n v="1"/>
    <n v="0"/>
  </r>
  <r>
    <x v="3"/>
    <n v="0"/>
    <n v="1"/>
  </r>
  <r>
    <x v="4"/>
    <n v="1"/>
    <n v="0"/>
  </r>
  <r>
    <x v="4"/>
    <n v="0"/>
    <n v="1"/>
  </r>
  <r>
    <x v="4"/>
    <n v="1"/>
    <n v="0"/>
  </r>
  <r>
    <x v="4"/>
    <n v="0"/>
    <n v="1"/>
  </r>
  <r>
    <x v="4"/>
    <n v="1"/>
    <n v="0"/>
  </r>
  <r>
    <x v="4"/>
    <n v="0"/>
    <n v="1"/>
  </r>
  <r>
    <x v="5"/>
    <n v="1"/>
    <n v="0"/>
  </r>
  <r>
    <x v="5"/>
    <n v="0"/>
    <n v="1"/>
  </r>
  <r>
    <x v="6"/>
    <n v="1"/>
    <n v="0"/>
  </r>
  <r>
    <x v="5"/>
    <n v="0"/>
    <n v="1"/>
  </r>
  <r>
    <x v="6"/>
    <n v="1"/>
    <n v="0"/>
  </r>
  <r>
    <x v="6"/>
    <n v="1"/>
    <n v="0"/>
  </r>
  <r>
    <x v="6"/>
    <n v="0"/>
    <n v="1"/>
  </r>
  <r>
    <x v="6"/>
    <n v="1"/>
    <n v="0"/>
  </r>
  <r>
    <x v="6"/>
    <n v="0"/>
    <n v="1"/>
  </r>
  <r>
    <x v="6"/>
    <n v="1"/>
    <n v="0"/>
  </r>
  <r>
    <x v="6"/>
    <n v="0"/>
    <n v="1"/>
  </r>
  <r>
    <x v="6"/>
    <n v="1"/>
    <n v="0"/>
  </r>
  <r>
    <x v="6"/>
    <n v="0"/>
    <n v="1"/>
  </r>
  <r>
    <x v="7"/>
    <n v="1"/>
    <n v="0"/>
  </r>
  <r>
    <x v="6"/>
    <n v="0"/>
    <n v="1"/>
  </r>
  <r>
    <x v="6"/>
    <n v="1"/>
    <n v="0"/>
  </r>
  <r>
    <x v="6"/>
    <n v="0"/>
    <n v="1"/>
  </r>
  <r>
    <x v="7"/>
    <n v="1"/>
    <n v="0"/>
  </r>
  <r>
    <x v="6"/>
    <n v="0"/>
    <n v="1"/>
  </r>
  <r>
    <x v="7"/>
    <n v="1"/>
    <n v="0"/>
  </r>
  <r>
    <x v="7"/>
    <n v="0"/>
    <n v="1"/>
  </r>
  <r>
    <x v="8"/>
    <n v="1"/>
    <n v="0"/>
  </r>
  <r>
    <x v="8"/>
    <n v="0"/>
    <n v="1"/>
  </r>
  <r>
    <x v="8"/>
    <n v="1"/>
    <n v="0"/>
  </r>
  <r>
    <x v="7"/>
    <n v="0"/>
    <n v="1"/>
  </r>
  <r>
    <x v="9"/>
    <n v="1"/>
    <n v="0"/>
  </r>
  <r>
    <x v="8"/>
    <n v="0"/>
    <n v="1"/>
  </r>
  <r>
    <x v="9"/>
    <n v="1"/>
    <n v="0"/>
  </r>
  <r>
    <x v="9"/>
    <n v="0"/>
    <n v="1"/>
  </r>
  <r>
    <x v="6"/>
    <n v="1"/>
    <n v="0"/>
  </r>
  <r>
    <x v="6"/>
    <n v="0"/>
    <n v="1"/>
  </r>
  <r>
    <x v="9"/>
    <n v="1"/>
    <n v="0"/>
  </r>
  <r>
    <x v="8"/>
    <n v="0"/>
    <n v="1"/>
  </r>
  <r>
    <x v="9"/>
    <n v="1"/>
    <n v="0"/>
  </r>
  <r>
    <x v="9"/>
    <n v="0"/>
    <n v="1"/>
  </r>
  <r>
    <x v="8"/>
    <n v="1"/>
    <n v="0"/>
  </r>
  <r>
    <x v="8"/>
    <n v="0"/>
    <n v="1"/>
  </r>
  <r>
    <x v="9"/>
    <n v="1"/>
    <n v="0"/>
  </r>
  <r>
    <x v="9"/>
    <n v="1"/>
    <n v="0"/>
  </r>
  <r>
    <x v="9"/>
    <n v="0"/>
    <n v="1"/>
  </r>
  <r>
    <x v="9"/>
    <n v="1"/>
    <n v="0"/>
  </r>
  <r>
    <x v="9"/>
    <n v="0"/>
    <n v="1"/>
  </r>
  <r>
    <x v="10"/>
    <n v="1"/>
    <n v="0"/>
  </r>
  <r>
    <x v="11"/>
    <n v="1"/>
    <n v="0"/>
  </r>
  <r>
    <x v="11"/>
    <n v="0"/>
    <n v="1"/>
  </r>
  <r>
    <x v="8"/>
    <n v="1"/>
    <n v="0"/>
  </r>
  <r>
    <x v="7"/>
    <n v="0"/>
    <n v="1"/>
  </r>
  <r>
    <x v="10"/>
    <n v="1"/>
    <n v="0"/>
  </r>
  <r>
    <x v="11"/>
    <n v="0"/>
    <n v="1"/>
  </r>
  <r>
    <x v="11"/>
    <n v="1"/>
    <n v="0"/>
  </r>
  <r>
    <x v="11"/>
    <n v="0"/>
    <n v="1"/>
  </r>
  <r>
    <x v="11"/>
    <n v="1"/>
    <n v="0"/>
  </r>
  <r>
    <x v="11"/>
    <n v="0"/>
    <n v="1"/>
  </r>
  <r>
    <x v="11"/>
    <n v="1"/>
    <n v="0"/>
  </r>
  <r>
    <x v="11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onthlyOfferJoinedPivot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A4:C17" firstHeaderRow="0" firstDataRow="1" firstDataCol="1"/>
  <pivotFields count="3">
    <pivotField axis="axisRow" compact="0" numFmtId="164" outline="0" showAll="0" defaultSubtotal="0">
      <items count="12">
        <item x="10"/>
        <item x="11"/>
        <item x="9"/>
        <item x="8"/>
        <item x="7"/>
        <item x="6"/>
        <item x="5"/>
        <item x="4"/>
        <item x="3"/>
        <item x="2"/>
        <item x="1"/>
        <item x="0"/>
      </items>
    </pivotField>
    <pivotField dataField="1" compact="0" outline="0" showAll="0" defaultSubtotal="0"/>
    <pivotField dataField="1" compact="0" outline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Offers Released" fld="1" baseField="0" baseItem="0"/>
    <dataField name="Joined Count" fld="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2" name="CombinedPivotSource" displayName="CombinedPivotSource" ref="A1:C94" totalsRowShown="0">
  <autoFilter ref="A1:C94"/>
  <tableColumns count="3">
    <tableColumn id="1" name="Month" dataDxfId="0"/>
    <tableColumn id="2" name="Offers Released"/>
    <tableColumn id="3" name="Joined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4"/>
  <sheetViews>
    <sheetView showGridLines="0" tabSelected="1" topLeftCell="AF1" workbookViewId="0">
      <selection activeCell="AN6" sqref="AN6"/>
    </sheetView>
  </sheetViews>
  <sheetFormatPr defaultRowHeight="14.5" x14ac:dyDescent="0.35"/>
  <cols>
    <col min="1" max="1" width="11.453125" bestFit="1" customWidth="1"/>
    <col min="2" max="2" width="26.453125" bestFit="1" customWidth="1"/>
    <col min="3" max="3" width="24" bestFit="1" customWidth="1"/>
    <col min="4" max="4" width="10.1796875" bestFit="1" customWidth="1"/>
    <col min="5" max="5" width="10" bestFit="1" customWidth="1"/>
    <col min="6" max="6" width="28" bestFit="1" customWidth="1"/>
    <col min="7" max="7" width="28.7265625" customWidth="1"/>
    <col min="8" max="9" width="10.453125" bestFit="1" customWidth="1"/>
    <col min="10" max="10" width="20.54296875" bestFit="1" customWidth="1"/>
    <col min="11" max="11" width="20.453125" bestFit="1" customWidth="1"/>
    <col min="12" max="12" width="26" bestFit="1" customWidth="1"/>
    <col min="13" max="13" width="9.54296875" bestFit="1" customWidth="1"/>
    <col min="14" max="14" width="31" bestFit="1" customWidth="1"/>
    <col min="15" max="15" width="10.26953125" bestFit="1" customWidth="1"/>
    <col min="16" max="16" width="33.81640625" bestFit="1" customWidth="1"/>
    <col min="17" max="17" width="17.26953125" bestFit="1" customWidth="1"/>
    <col min="18" max="18" width="10.7265625" bestFit="1" customWidth="1"/>
    <col min="19" max="19" width="11.7265625" bestFit="1" customWidth="1"/>
    <col min="20" max="20" width="24" bestFit="1" customWidth="1"/>
    <col min="21" max="21" width="25" bestFit="1" customWidth="1"/>
    <col min="22" max="22" width="18.81640625" bestFit="1" customWidth="1"/>
    <col min="23" max="23" width="7.453125" bestFit="1" customWidth="1"/>
    <col min="24" max="24" width="17.453125" bestFit="1" customWidth="1"/>
    <col min="25" max="25" width="15" bestFit="1" customWidth="1"/>
    <col min="26" max="26" width="15.26953125" bestFit="1" customWidth="1"/>
    <col min="27" max="27" width="26.7265625" bestFit="1" customWidth="1"/>
    <col min="28" max="28" width="14" bestFit="1" customWidth="1"/>
    <col min="29" max="29" width="15.26953125" bestFit="1" customWidth="1"/>
    <col min="30" max="30" width="27.54296875" bestFit="1" customWidth="1"/>
    <col min="31" max="31" width="14" bestFit="1" customWidth="1"/>
    <col min="32" max="32" width="16.7265625" bestFit="1" customWidth="1"/>
    <col min="33" max="33" width="25.1796875" bestFit="1" customWidth="1"/>
    <col min="34" max="34" width="13.54296875" bestFit="1" customWidth="1"/>
    <col min="35" max="35" width="26.54296875" bestFit="1" customWidth="1"/>
    <col min="36" max="36" width="11.81640625" bestFit="1" customWidth="1"/>
    <col min="37" max="37" width="11.81640625" customWidth="1"/>
    <col min="38" max="38" width="36.1796875" bestFit="1" customWidth="1"/>
    <col min="39" max="39" width="14" customWidth="1"/>
    <col min="40" max="41" width="14.26953125" bestFit="1" customWidth="1"/>
    <col min="42" max="42" width="7.453125" bestFit="1" customWidth="1"/>
    <col min="43" max="43" width="12.1796875" bestFit="1" customWidth="1"/>
    <col min="44" max="44" width="22.1796875" bestFit="1" customWidth="1"/>
    <col min="45" max="45" width="10.81640625" bestFit="1" customWidth="1"/>
    <col min="46" max="46" width="21" bestFit="1" customWidth="1"/>
    <col min="47" max="47" width="21" customWidth="1"/>
    <col min="48" max="48" width="18.453125" bestFit="1" customWidth="1"/>
    <col min="49" max="49" width="17.54296875" bestFit="1" customWidth="1"/>
  </cols>
  <sheetData>
    <row r="1" spans="1:49" s="1" customFormat="1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2" t="s">
        <v>35</v>
      </c>
      <c r="AK1" s="2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22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2" t="s">
        <v>47</v>
      </c>
    </row>
    <row r="2" spans="1:49" s="4" customFormat="1" x14ac:dyDescent="0.35">
      <c r="A2" s="5">
        <v>2441569</v>
      </c>
      <c r="B2" s="5" t="s">
        <v>48</v>
      </c>
      <c r="C2" s="5" t="s">
        <v>49</v>
      </c>
      <c r="D2" s="6">
        <v>46259</v>
      </c>
      <c r="E2" s="5" t="s">
        <v>50</v>
      </c>
      <c r="F2" s="5" t="s">
        <v>51</v>
      </c>
      <c r="G2" s="5" t="s">
        <v>52</v>
      </c>
      <c r="H2" s="5">
        <v>61</v>
      </c>
      <c r="I2" s="5">
        <v>80</v>
      </c>
      <c r="J2" s="5" t="s">
        <v>53</v>
      </c>
      <c r="K2" s="5" t="s">
        <v>54</v>
      </c>
      <c r="L2" s="5" t="s">
        <v>55</v>
      </c>
      <c r="M2" s="5" t="s">
        <v>56</v>
      </c>
      <c r="N2" s="5" t="s">
        <v>57</v>
      </c>
      <c r="O2" s="5" t="s">
        <v>58</v>
      </c>
      <c r="P2" s="5" t="s">
        <v>59</v>
      </c>
      <c r="Q2" s="6">
        <v>46259</v>
      </c>
      <c r="R2" s="5" t="s">
        <v>60</v>
      </c>
      <c r="S2" s="6">
        <v>46265</v>
      </c>
      <c r="T2" s="5" t="s">
        <v>49</v>
      </c>
      <c r="U2" s="5" t="s">
        <v>61</v>
      </c>
      <c r="V2" s="5" t="s">
        <v>62</v>
      </c>
      <c r="W2" s="5"/>
      <c r="X2" s="6">
        <v>46265</v>
      </c>
      <c r="Y2" s="6">
        <v>46265</v>
      </c>
      <c r="Z2" s="6">
        <v>46265</v>
      </c>
      <c r="AA2" s="5" t="s">
        <v>63</v>
      </c>
      <c r="AB2" s="5" t="s">
        <v>60</v>
      </c>
      <c r="AC2" s="6">
        <v>46265</v>
      </c>
      <c r="AD2" s="5" t="s">
        <v>64</v>
      </c>
      <c r="AE2" s="5" t="s">
        <v>60</v>
      </c>
      <c r="AF2" s="5"/>
      <c r="AG2" s="5"/>
      <c r="AH2" s="5" t="s">
        <v>65</v>
      </c>
      <c r="AI2" s="5" t="s">
        <v>66</v>
      </c>
      <c r="AJ2" s="6">
        <v>46272</v>
      </c>
      <c r="AK2" s="6"/>
      <c r="AL2" s="5" t="s">
        <v>67</v>
      </c>
      <c r="AM2" s="5">
        <v>7904914239</v>
      </c>
      <c r="AN2" s="5"/>
      <c r="AO2" s="5"/>
      <c r="AP2" s="5"/>
      <c r="AQ2" s="5"/>
      <c r="AR2" s="5">
        <v>432000</v>
      </c>
      <c r="AS2" s="5"/>
      <c r="AT2" s="6">
        <v>46267</v>
      </c>
      <c r="AU2" t="str">
        <f>TEXT(AT2,"mmmm")</f>
        <v>September</v>
      </c>
      <c r="AV2" s="5"/>
      <c r="AW2" s="5" t="s">
        <v>68</v>
      </c>
    </row>
    <row r="3" spans="1:49" s="7" customFormat="1" x14ac:dyDescent="0.35">
      <c r="A3" s="8">
        <v>2423114</v>
      </c>
      <c r="B3" s="8" t="s">
        <v>69</v>
      </c>
      <c r="C3" s="8" t="s">
        <v>70</v>
      </c>
      <c r="D3" s="9">
        <v>46240</v>
      </c>
      <c r="E3" s="8" t="s">
        <v>50</v>
      </c>
      <c r="F3" s="8" t="s">
        <v>71</v>
      </c>
      <c r="G3" s="8" t="s">
        <v>52</v>
      </c>
      <c r="H3" s="8">
        <v>94</v>
      </c>
      <c r="I3" s="8">
        <v>66.5</v>
      </c>
      <c r="J3" s="8" t="s">
        <v>72</v>
      </c>
      <c r="K3" s="8" t="s">
        <v>73</v>
      </c>
      <c r="L3" s="8" t="s">
        <v>55</v>
      </c>
      <c r="M3" s="8" t="s">
        <v>74</v>
      </c>
      <c r="N3" s="8" t="s">
        <v>75</v>
      </c>
      <c r="O3" s="8" t="s">
        <v>58</v>
      </c>
      <c r="P3" s="8" t="s">
        <v>59</v>
      </c>
      <c r="Q3" s="9">
        <v>46240</v>
      </c>
      <c r="R3" s="8" t="s">
        <v>60</v>
      </c>
      <c r="S3" s="9">
        <v>46241</v>
      </c>
      <c r="T3" s="8" t="s">
        <v>70</v>
      </c>
      <c r="U3" s="8" t="s">
        <v>76</v>
      </c>
      <c r="V3" s="8" t="s">
        <v>62</v>
      </c>
      <c r="W3" s="8"/>
      <c r="X3" s="9">
        <v>46241</v>
      </c>
      <c r="Y3" s="9">
        <v>46241</v>
      </c>
      <c r="Z3" s="9">
        <v>46241</v>
      </c>
      <c r="AA3" s="8" t="s">
        <v>68</v>
      </c>
      <c r="AB3" s="8" t="s">
        <v>60</v>
      </c>
      <c r="AC3" s="9">
        <v>46241</v>
      </c>
      <c r="AD3" s="8" t="s">
        <v>77</v>
      </c>
      <c r="AE3" s="8" t="s">
        <v>60</v>
      </c>
      <c r="AF3" s="8"/>
      <c r="AG3" s="8"/>
      <c r="AH3" s="8" t="s">
        <v>65</v>
      </c>
      <c r="AI3" s="8" t="s">
        <v>78</v>
      </c>
      <c r="AJ3" s="9">
        <v>46244</v>
      </c>
      <c r="AK3" s="9"/>
      <c r="AL3" s="8" t="s">
        <v>79</v>
      </c>
      <c r="AM3" s="8">
        <v>6382697792</v>
      </c>
      <c r="AN3" s="8"/>
      <c r="AO3" s="8"/>
      <c r="AP3" s="8"/>
      <c r="AQ3" s="8"/>
      <c r="AR3" s="8">
        <v>400008</v>
      </c>
      <c r="AS3" s="8"/>
      <c r="AT3" s="9">
        <v>46242</v>
      </c>
      <c r="AU3" t="str">
        <f t="shared" ref="AU3:AU51" si="0">TEXT(AT3,"mmmm")</f>
        <v>August</v>
      </c>
      <c r="AV3" s="8"/>
      <c r="AW3" s="8" t="s">
        <v>68</v>
      </c>
    </row>
    <row r="4" spans="1:49" s="4" customFormat="1" x14ac:dyDescent="0.35">
      <c r="A4" s="5">
        <v>2414088</v>
      </c>
      <c r="B4" s="5" t="s">
        <v>80</v>
      </c>
      <c r="C4" s="5" t="s">
        <v>49</v>
      </c>
      <c r="D4" s="6">
        <v>46232</v>
      </c>
      <c r="E4" s="5" t="s">
        <v>50</v>
      </c>
      <c r="F4" s="5" t="s">
        <v>81</v>
      </c>
      <c r="G4" s="5" t="s">
        <v>52</v>
      </c>
      <c r="H4" s="5">
        <v>72.599999999999994</v>
      </c>
      <c r="I4" s="5">
        <v>69.5</v>
      </c>
      <c r="J4" s="5" t="s">
        <v>53</v>
      </c>
      <c r="K4" s="5" t="s">
        <v>73</v>
      </c>
      <c r="L4" s="5" t="s">
        <v>55</v>
      </c>
      <c r="M4" s="5" t="s">
        <v>74</v>
      </c>
      <c r="N4" s="5" t="s">
        <v>82</v>
      </c>
      <c r="O4" s="5" t="s">
        <v>58</v>
      </c>
      <c r="P4" s="5" t="s">
        <v>59</v>
      </c>
      <c r="Q4" s="6">
        <v>46232</v>
      </c>
      <c r="R4" s="5" t="s">
        <v>60</v>
      </c>
      <c r="S4" s="6">
        <v>46233</v>
      </c>
      <c r="T4" s="5" t="s">
        <v>49</v>
      </c>
      <c r="U4" s="5" t="s">
        <v>83</v>
      </c>
      <c r="V4" s="5" t="s">
        <v>62</v>
      </c>
      <c r="W4" s="5"/>
      <c r="X4" s="6">
        <v>46233</v>
      </c>
      <c r="Y4" s="6">
        <v>46233</v>
      </c>
      <c r="Z4" s="6">
        <v>46233</v>
      </c>
      <c r="AA4" s="5" t="s">
        <v>84</v>
      </c>
      <c r="AB4" s="5" t="s">
        <v>60</v>
      </c>
      <c r="AC4" s="6">
        <v>46233</v>
      </c>
      <c r="AD4" s="5" t="s">
        <v>68</v>
      </c>
      <c r="AE4" s="5" t="s">
        <v>60</v>
      </c>
      <c r="AF4" s="5"/>
      <c r="AG4" s="5"/>
      <c r="AH4" s="5" t="s">
        <v>65</v>
      </c>
      <c r="AI4" s="5" t="s">
        <v>78</v>
      </c>
      <c r="AJ4" s="6">
        <v>46237</v>
      </c>
      <c r="AK4" s="6"/>
      <c r="AL4" s="5" t="s">
        <v>85</v>
      </c>
      <c r="AM4" s="5">
        <v>6382695913</v>
      </c>
      <c r="AN4" s="5"/>
      <c r="AO4" s="5"/>
      <c r="AP4" s="5"/>
      <c r="AQ4" s="5"/>
      <c r="AR4" s="5">
        <v>435000</v>
      </c>
      <c r="AS4" s="5"/>
      <c r="AT4" s="6">
        <v>46234</v>
      </c>
      <c r="AU4" t="str">
        <f t="shared" si="0"/>
        <v>July</v>
      </c>
      <c r="AV4" s="5"/>
      <c r="AW4" s="5" t="s">
        <v>68</v>
      </c>
    </row>
    <row r="5" spans="1:49" s="7" customFormat="1" x14ac:dyDescent="0.35">
      <c r="A5" s="8">
        <v>2412020</v>
      </c>
      <c r="B5" s="8" t="s">
        <v>86</v>
      </c>
      <c r="C5" s="8" t="s">
        <v>49</v>
      </c>
      <c r="D5" s="9">
        <v>46230</v>
      </c>
      <c r="E5" s="8" t="s">
        <v>50</v>
      </c>
      <c r="F5" s="8" t="s">
        <v>87</v>
      </c>
      <c r="G5" s="8" t="s">
        <v>52</v>
      </c>
      <c r="H5" s="8">
        <v>60</v>
      </c>
      <c r="I5" s="8">
        <v>60</v>
      </c>
      <c r="J5" s="8" t="s">
        <v>88</v>
      </c>
      <c r="K5" s="8" t="s">
        <v>89</v>
      </c>
      <c r="L5" s="8" t="s">
        <v>55</v>
      </c>
      <c r="M5" s="8" t="s">
        <v>74</v>
      </c>
      <c r="N5" s="8" t="s">
        <v>90</v>
      </c>
      <c r="O5" s="8" t="s">
        <v>58</v>
      </c>
      <c r="P5" s="8" t="s">
        <v>59</v>
      </c>
      <c r="Q5" s="9">
        <v>46230</v>
      </c>
      <c r="R5" s="8" t="s">
        <v>60</v>
      </c>
      <c r="S5" s="9">
        <v>46232</v>
      </c>
      <c r="T5" s="8" t="s">
        <v>49</v>
      </c>
      <c r="U5" s="8" t="s">
        <v>91</v>
      </c>
      <c r="V5" s="8" t="s">
        <v>62</v>
      </c>
      <c r="W5" s="8"/>
      <c r="X5" s="9">
        <v>46231</v>
      </c>
      <c r="Y5" s="9">
        <v>46232</v>
      </c>
      <c r="Z5" s="9">
        <v>46231</v>
      </c>
      <c r="AA5" s="8" t="s">
        <v>84</v>
      </c>
      <c r="AB5" s="8" t="s">
        <v>60</v>
      </c>
      <c r="AC5" s="9">
        <v>46231</v>
      </c>
      <c r="AD5" s="8" t="s">
        <v>68</v>
      </c>
      <c r="AE5" s="8" t="s">
        <v>60</v>
      </c>
      <c r="AF5" s="8"/>
      <c r="AG5" s="8"/>
      <c r="AH5" s="8"/>
      <c r="AI5" s="8" t="s">
        <v>92</v>
      </c>
      <c r="AJ5" s="9">
        <v>46286</v>
      </c>
      <c r="AK5" s="9"/>
      <c r="AL5" s="8" t="s">
        <v>93</v>
      </c>
      <c r="AM5" s="8">
        <v>6383794501</v>
      </c>
      <c r="AN5" s="8"/>
      <c r="AO5" s="8"/>
      <c r="AP5" s="8"/>
      <c r="AQ5" s="8"/>
      <c r="AR5" s="8">
        <v>50000</v>
      </c>
      <c r="AS5" s="8"/>
      <c r="AT5" s="9">
        <v>46234</v>
      </c>
      <c r="AU5" t="str">
        <f t="shared" si="0"/>
        <v>July</v>
      </c>
      <c r="AV5" s="8"/>
      <c r="AW5" s="8" t="s">
        <v>68</v>
      </c>
    </row>
    <row r="6" spans="1:49" s="4" customFormat="1" x14ac:dyDescent="0.35">
      <c r="A6" s="5">
        <v>2400703</v>
      </c>
      <c r="B6" s="5" t="s">
        <v>94</v>
      </c>
      <c r="C6" s="5" t="s">
        <v>70</v>
      </c>
      <c r="D6" s="6">
        <v>46219</v>
      </c>
      <c r="E6" s="5" t="s">
        <v>50</v>
      </c>
      <c r="F6" s="5" t="s">
        <v>95</v>
      </c>
      <c r="G6" s="5" t="s">
        <v>52</v>
      </c>
      <c r="H6" s="5">
        <v>65</v>
      </c>
      <c r="I6" s="5">
        <v>65</v>
      </c>
      <c r="J6" s="5" t="s">
        <v>72</v>
      </c>
      <c r="K6" s="5" t="s">
        <v>73</v>
      </c>
      <c r="L6" s="5" t="s">
        <v>55</v>
      </c>
      <c r="M6" s="5" t="s">
        <v>74</v>
      </c>
      <c r="N6" s="5" t="s">
        <v>96</v>
      </c>
      <c r="O6" s="5" t="s">
        <v>58</v>
      </c>
      <c r="P6" s="5" t="s">
        <v>59</v>
      </c>
      <c r="Q6" s="6">
        <v>46219</v>
      </c>
      <c r="R6" s="5" t="s">
        <v>60</v>
      </c>
      <c r="S6" s="6">
        <v>46220</v>
      </c>
      <c r="T6" s="5" t="s">
        <v>70</v>
      </c>
      <c r="U6" s="5" t="s">
        <v>76</v>
      </c>
      <c r="V6" s="5" t="s">
        <v>62</v>
      </c>
      <c r="W6" s="5"/>
      <c r="X6" s="6">
        <v>46220</v>
      </c>
      <c r="Y6" s="6">
        <v>46220</v>
      </c>
      <c r="Z6" s="6">
        <v>46220</v>
      </c>
      <c r="AA6" s="5" t="s">
        <v>77</v>
      </c>
      <c r="AB6" s="5" t="s">
        <v>60</v>
      </c>
      <c r="AC6" s="6">
        <v>46220</v>
      </c>
      <c r="AD6" s="5" t="s">
        <v>84</v>
      </c>
      <c r="AE6" s="5" t="s">
        <v>60</v>
      </c>
      <c r="AF6" s="5"/>
      <c r="AG6" s="5"/>
      <c r="AH6" s="5" t="s">
        <v>65</v>
      </c>
      <c r="AI6" s="5" t="s">
        <v>78</v>
      </c>
      <c r="AJ6" s="6">
        <v>46244</v>
      </c>
      <c r="AK6" s="6"/>
      <c r="AL6" s="5" t="s">
        <v>97</v>
      </c>
      <c r="AM6" s="5">
        <v>9677410609</v>
      </c>
      <c r="AN6" s="5"/>
      <c r="AO6" s="5"/>
      <c r="AP6" s="5"/>
      <c r="AQ6" s="5"/>
      <c r="AR6" s="5">
        <v>37000</v>
      </c>
      <c r="AS6" s="5"/>
      <c r="AT6" s="6">
        <v>46238</v>
      </c>
      <c r="AU6" t="str">
        <f t="shared" si="0"/>
        <v>August</v>
      </c>
      <c r="AV6" s="5"/>
      <c r="AW6" s="5" t="s">
        <v>68</v>
      </c>
    </row>
    <row r="7" spans="1:49" s="7" customFormat="1" x14ac:dyDescent="0.35">
      <c r="A7" s="8">
        <v>2391293</v>
      </c>
      <c r="B7" s="8" t="s">
        <v>98</v>
      </c>
      <c r="C7" s="8" t="s">
        <v>99</v>
      </c>
      <c r="D7" s="9">
        <v>46211</v>
      </c>
      <c r="E7" s="8" t="s">
        <v>50</v>
      </c>
      <c r="F7" s="8" t="s">
        <v>100</v>
      </c>
      <c r="G7" s="8" t="s">
        <v>52</v>
      </c>
      <c r="H7" s="8">
        <v>79</v>
      </c>
      <c r="I7" s="8">
        <v>76</v>
      </c>
      <c r="J7" s="8" t="s">
        <v>72</v>
      </c>
      <c r="K7" s="8" t="s">
        <v>73</v>
      </c>
      <c r="L7" s="8" t="s">
        <v>55</v>
      </c>
      <c r="M7" s="8" t="s">
        <v>74</v>
      </c>
      <c r="N7" s="8" t="s">
        <v>101</v>
      </c>
      <c r="O7" s="8" t="s">
        <v>58</v>
      </c>
      <c r="P7" s="8" t="s">
        <v>59</v>
      </c>
      <c r="Q7" s="9">
        <v>46211</v>
      </c>
      <c r="R7" s="8" t="s">
        <v>60</v>
      </c>
      <c r="S7" s="9">
        <v>46219</v>
      </c>
      <c r="T7" s="8" t="s">
        <v>99</v>
      </c>
      <c r="U7" s="8" t="s">
        <v>83</v>
      </c>
      <c r="V7" s="8" t="s">
        <v>62</v>
      </c>
      <c r="W7" s="8"/>
      <c r="X7" s="9">
        <v>46219</v>
      </c>
      <c r="Y7" s="9">
        <v>46219</v>
      </c>
      <c r="Z7" s="9">
        <v>46219</v>
      </c>
      <c r="AA7" s="8" t="s">
        <v>84</v>
      </c>
      <c r="AB7" s="8" t="s">
        <v>60</v>
      </c>
      <c r="AC7" s="9">
        <v>46219</v>
      </c>
      <c r="AD7" s="8" t="s">
        <v>102</v>
      </c>
      <c r="AE7" s="8" t="s">
        <v>60</v>
      </c>
      <c r="AF7" s="8"/>
      <c r="AG7" s="8"/>
      <c r="AH7" s="8" t="s">
        <v>65</v>
      </c>
      <c r="AI7" s="8" t="s">
        <v>78</v>
      </c>
      <c r="AJ7" s="9">
        <v>46244</v>
      </c>
      <c r="AK7" s="9"/>
      <c r="AL7" s="8" t="s">
        <v>103</v>
      </c>
      <c r="AM7" s="8">
        <v>9047388158</v>
      </c>
      <c r="AN7" s="8"/>
      <c r="AO7" s="8"/>
      <c r="AP7" s="8"/>
      <c r="AQ7" s="8"/>
      <c r="AR7" s="8">
        <v>400008</v>
      </c>
      <c r="AS7" s="8"/>
      <c r="AT7" s="9">
        <v>46223</v>
      </c>
      <c r="AU7" t="str">
        <f t="shared" si="0"/>
        <v>July</v>
      </c>
      <c r="AV7" s="8"/>
      <c r="AW7" s="8" t="s">
        <v>68</v>
      </c>
    </row>
    <row r="8" spans="1:49" s="4" customFormat="1" x14ac:dyDescent="0.35">
      <c r="A8" s="5">
        <v>2390212</v>
      </c>
      <c r="B8" s="5" t="s">
        <v>104</v>
      </c>
      <c r="C8" s="5" t="s">
        <v>105</v>
      </c>
      <c r="D8" s="6">
        <v>46210</v>
      </c>
      <c r="E8" s="5" t="s">
        <v>50</v>
      </c>
      <c r="F8" s="5" t="s">
        <v>106</v>
      </c>
      <c r="G8" s="5" t="s">
        <v>107</v>
      </c>
      <c r="H8" s="5">
        <v>86</v>
      </c>
      <c r="I8" s="5">
        <v>74</v>
      </c>
      <c r="J8" s="5" t="s">
        <v>108</v>
      </c>
      <c r="K8" s="5" t="s">
        <v>54</v>
      </c>
      <c r="L8" s="5" t="s">
        <v>55</v>
      </c>
      <c r="M8" s="5" t="s">
        <v>74</v>
      </c>
      <c r="N8" s="5" t="s">
        <v>109</v>
      </c>
      <c r="O8" s="5" t="s">
        <v>58</v>
      </c>
      <c r="P8" s="5" t="s">
        <v>59</v>
      </c>
      <c r="Q8" s="6">
        <v>46210</v>
      </c>
      <c r="R8" s="5" t="s">
        <v>60</v>
      </c>
      <c r="S8" s="6">
        <v>46210</v>
      </c>
      <c r="T8" s="5" t="s">
        <v>105</v>
      </c>
      <c r="U8" s="5" t="s">
        <v>110</v>
      </c>
      <c r="V8" s="5" t="s">
        <v>62</v>
      </c>
      <c r="W8" s="5"/>
      <c r="X8" s="6">
        <v>46211</v>
      </c>
      <c r="Y8" s="6">
        <v>46210</v>
      </c>
      <c r="Z8" s="6">
        <v>46211</v>
      </c>
      <c r="AA8" s="5" t="s">
        <v>111</v>
      </c>
      <c r="AB8" s="5" t="s">
        <v>60</v>
      </c>
      <c r="AC8" s="6">
        <v>46211</v>
      </c>
      <c r="AD8" s="5" t="s">
        <v>64</v>
      </c>
      <c r="AE8" s="5" t="s">
        <v>60</v>
      </c>
      <c r="AF8" s="5"/>
      <c r="AG8" s="5"/>
      <c r="AH8" s="5" t="s">
        <v>65</v>
      </c>
      <c r="AI8" s="5" t="s">
        <v>66</v>
      </c>
      <c r="AJ8" s="6">
        <v>46223</v>
      </c>
      <c r="AK8" s="6"/>
      <c r="AL8" s="5" t="s">
        <v>112</v>
      </c>
      <c r="AM8" s="5">
        <v>6381903013</v>
      </c>
      <c r="AN8" s="5"/>
      <c r="AO8" s="5"/>
      <c r="AP8" s="5"/>
      <c r="AQ8" s="5"/>
      <c r="AR8" s="5">
        <v>360000</v>
      </c>
      <c r="AS8" s="5"/>
      <c r="AT8" s="6">
        <v>46214</v>
      </c>
      <c r="AU8" t="str">
        <f t="shared" si="0"/>
        <v>July</v>
      </c>
      <c r="AV8" s="5"/>
      <c r="AW8" s="5" t="s">
        <v>68</v>
      </c>
    </row>
    <row r="9" spans="1:49" s="7" customFormat="1" x14ac:dyDescent="0.35">
      <c r="A9" s="8">
        <v>2389804</v>
      </c>
      <c r="B9" s="8" t="s">
        <v>113</v>
      </c>
      <c r="C9" s="8" t="s">
        <v>105</v>
      </c>
      <c r="D9" s="9">
        <v>46210</v>
      </c>
      <c r="E9" s="8" t="s">
        <v>50</v>
      </c>
      <c r="F9" s="8" t="s">
        <v>114</v>
      </c>
      <c r="G9" s="8" t="s">
        <v>107</v>
      </c>
      <c r="H9" s="8">
        <v>70</v>
      </c>
      <c r="I9" s="8">
        <v>84</v>
      </c>
      <c r="J9" s="8" t="s">
        <v>108</v>
      </c>
      <c r="K9" s="8" t="s">
        <v>54</v>
      </c>
      <c r="L9" s="8" t="s">
        <v>55</v>
      </c>
      <c r="M9" s="8" t="s">
        <v>115</v>
      </c>
      <c r="N9" s="8" t="s">
        <v>11</v>
      </c>
      <c r="O9" s="8" t="s">
        <v>58</v>
      </c>
      <c r="P9" s="8" t="s">
        <v>59</v>
      </c>
      <c r="Q9" s="9">
        <v>46210</v>
      </c>
      <c r="R9" s="8" t="s">
        <v>60</v>
      </c>
      <c r="S9" s="9">
        <v>46217</v>
      </c>
      <c r="T9" s="8" t="s">
        <v>105</v>
      </c>
      <c r="U9" s="8" t="s">
        <v>110</v>
      </c>
      <c r="V9" s="8" t="s">
        <v>62</v>
      </c>
      <c r="W9" s="8"/>
      <c r="X9" s="9">
        <v>46217</v>
      </c>
      <c r="Y9" s="9">
        <v>46217</v>
      </c>
      <c r="Z9" s="9">
        <v>46217</v>
      </c>
      <c r="AA9" s="8" t="s">
        <v>111</v>
      </c>
      <c r="AB9" s="8" t="s">
        <v>60</v>
      </c>
      <c r="AC9" s="9">
        <v>46217</v>
      </c>
      <c r="AD9" s="8" t="s">
        <v>64</v>
      </c>
      <c r="AE9" s="8" t="s">
        <v>60</v>
      </c>
      <c r="AF9" s="8"/>
      <c r="AG9" s="8"/>
      <c r="AH9" s="8" t="s">
        <v>65</v>
      </c>
      <c r="AI9" s="8" t="s">
        <v>66</v>
      </c>
      <c r="AJ9" s="9">
        <v>46244</v>
      </c>
      <c r="AK9" s="9"/>
      <c r="AL9" s="8" t="s">
        <v>116</v>
      </c>
      <c r="AM9" s="8">
        <v>9344895221</v>
      </c>
      <c r="AN9" s="8"/>
      <c r="AO9" s="8"/>
      <c r="AP9" s="8"/>
      <c r="AQ9" s="8"/>
      <c r="AR9" s="8">
        <v>360000</v>
      </c>
      <c r="AS9" s="8"/>
      <c r="AT9" s="9">
        <v>46220</v>
      </c>
      <c r="AU9" t="str">
        <f t="shared" si="0"/>
        <v>July</v>
      </c>
      <c r="AV9" s="8"/>
      <c r="AW9" s="8" t="s">
        <v>68</v>
      </c>
    </row>
    <row r="10" spans="1:49" s="4" customFormat="1" x14ac:dyDescent="0.35">
      <c r="A10" s="5">
        <v>2389659</v>
      </c>
      <c r="B10" s="5" t="s">
        <v>117</v>
      </c>
      <c r="C10" s="5" t="s">
        <v>49</v>
      </c>
      <c r="D10" s="6">
        <v>46210</v>
      </c>
      <c r="E10" s="5" t="s">
        <v>50</v>
      </c>
      <c r="F10" s="5" t="s">
        <v>118</v>
      </c>
      <c r="G10" s="5" t="s">
        <v>52</v>
      </c>
      <c r="H10" s="5">
        <v>87</v>
      </c>
      <c r="I10" s="5">
        <v>82</v>
      </c>
      <c r="J10" s="5" t="s">
        <v>108</v>
      </c>
      <c r="K10" s="5" t="s">
        <v>54</v>
      </c>
      <c r="L10" s="5" t="s">
        <v>55</v>
      </c>
      <c r="M10" s="5" t="s">
        <v>74</v>
      </c>
      <c r="N10" s="5" t="s">
        <v>119</v>
      </c>
      <c r="O10" s="5" t="s">
        <v>58</v>
      </c>
      <c r="P10" s="5" t="s">
        <v>59</v>
      </c>
      <c r="Q10" s="6">
        <v>46210</v>
      </c>
      <c r="R10" s="5" t="s">
        <v>60</v>
      </c>
      <c r="S10" s="6">
        <v>46210</v>
      </c>
      <c r="T10" s="5" t="s">
        <v>49</v>
      </c>
      <c r="U10" s="5" t="s">
        <v>120</v>
      </c>
      <c r="V10" s="5" t="s">
        <v>62</v>
      </c>
      <c r="W10" s="5"/>
      <c r="X10" s="6">
        <v>46210</v>
      </c>
      <c r="Y10" s="6">
        <v>46210</v>
      </c>
      <c r="Z10" s="6">
        <v>46210</v>
      </c>
      <c r="AA10" s="5" t="s">
        <v>68</v>
      </c>
      <c r="AB10" s="5" t="s">
        <v>60</v>
      </c>
      <c r="AC10" s="6">
        <v>46210</v>
      </c>
      <c r="AD10" s="5" t="s">
        <v>64</v>
      </c>
      <c r="AE10" s="5" t="s">
        <v>60</v>
      </c>
      <c r="AF10" s="5"/>
      <c r="AG10" s="5"/>
      <c r="AH10" s="5" t="s">
        <v>65</v>
      </c>
      <c r="AI10" s="5" t="s">
        <v>66</v>
      </c>
      <c r="AJ10" s="6">
        <v>46223</v>
      </c>
      <c r="AK10" s="6"/>
      <c r="AL10" s="5" t="s">
        <v>121</v>
      </c>
      <c r="AM10" s="5">
        <v>8072393410</v>
      </c>
      <c r="AN10" s="5"/>
      <c r="AO10" s="5"/>
      <c r="AP10" s="5"/>
      <c r="AQ10" s="5"/>
      <c r="AR10" s="5">
        <v>375000</v>
      </c>
      <c r="AS10" s="5"/>
      <c r="AT10" s="6">
        <v>46214</v>
      </c>
      <c r="AU10" t="str">
        <f t="shared" si="0"/>
        <v>July</v>
      </c>
      <c r="AV10" s="5"/>
      <c r="AW10" s="5" t="s">
        <v>68</v>
      </c>
    </row>
    <row r="11" spans="1:49" s="7" customFormat="1" x14ac:dyDescent="0.35">
      <c r="A11" s="8">
        <v>2369242</v>
      </c>
      <c r="B11" s="8" t="s">
        <v>122</v>
      </c>
      <c r="C11" s="8"/>
      <c r="D11" s="9">
        <v>46191</v>
      </c>
      <c r="E11" s="8" t="s">
        <v>50</v>
      </c>
      <c r="F11" s="8" t="s">
        <v>123</v>
      </c>
      <c r="G11" s="8" t="s">
        <v>52</v>
      </c>
      <c r="H11" s="8">
        <v>81</v>
      </c>
      <c r="I11" s="8">
        <v>62</v>
      </c>
      <c r="J11" s="8" t="s">
        <v>108</v>
      </c>
      <c r="K11" s="8" t="s">
        <v>54</v>
      </c>
      <c r="L11" s="8" t="s">
        <v>55</v>
      </c>
      <c r="M11" s="8" t="s">
        <v>74</v>
      </c>
      <c r="N11" s="8" t="s">
        <v>124</v>
      </c>
      <c r="O11" s="8" t="s">
        <v>58</v>
      </c>
      <c r="P11" s="8" t="s">
        <v>59</v>
      </c>
      <c r="Q11" s="9">
        <v>46191</v>
      </c>
      <c r="R11" s="8" t="s">
        <v>60</v>
      </c>
      <c r="S11" s="9">
        <v>46192</v>
      </c>
      <c r="T11" s="8" t="s">
        <v>49</v>
      </c>
      <c r="U11" s="8" t="s">
        <v>125</v>
      </c>
      <c r="V11" s="8" t="s">
        <v>62</v>
      </c>
      <c r="W11" s="8"/>
      <c r="X11" s="9">
        <v>46192</v>
      </c>
      <c r="Y11" s="9">
        <v>46192</v>
      </c>
      <c r="Z11" s="9">
        <v>46192</v>
      </c>
      <c r="AA11" s="8" t="s">
        <v>126</v>
      </c>
      <c r="AB11" s="8" t="s">
        <v>60</v>
      </c>
      <c r="AC11" s="9">
        <v>46192</v>
      </c>
      <c r="AD11" s="8" t="s">
        <v>64</v>
      </c>
      <c r="AE11" s="8" t="s">
        <v>60</v>
      </c>
      <c r="AF11" s="8"/>
      <c r="AG11" s="8"/>
      <c r="AH11" s="8" t="s">
        <v>65</v>
      </c>
      <c r="AI11" s="8" t="s">
        <v>66</v>
      </c>
      <c r="AJ11" s="9">
        <v>46216</v>
      </c>
      <c r="AK11" s="9"/>
      <c r="AL11" s="8" t="s">
        <v>127</v>
      </c>
      <c r="AM11" s="8">
        <v>7092202611</v>
      </c>
      <c r="AN11" s="8"/>
      <c r="AO11" s="8"/>
      <c r="AP11" s="8"/>
      <c r="AQ11" s="8"/>
      <c r="AR11" s="8">
        <v>31568</v>
      </c>
      <c r="AS11" s="8"/>
      <c r="AT11" s="9">
        <v>46210</v>
      </c>
      <c r="AU11" t="str">
        <f t="shared" si="0"/>
        <v>July</v>
      </c>
      <c r="AV11" s="8"/>
      <c r="AW11" s="8" t="s">
        <v>68</v>
      </c>
    </row>
    <row r="12" spans="1:49" s="4" customFormat="1" x14ac:dyDescent="0.35">
      <c r="A12" s="5">
        <v>2367156</v>
      </c>
      <c r="B12" s="5" t="s">
        <v>128</v>
      </c>
      <c r="C12" s="5" t="s">
        <v>105</v>
      </c>
      <c r="D12" s="6">
        <v>46189</v>
      </c>
      <c r="E12" s="5" t="s">
        <v>50</v>
      </c>
      <c r="F12" s="5" t="s">
        <v>129</v>
      </c>
      <c r="G12" s="5" t="s">
        <v>52</v>
      </c>
      <c r="H12" s="5">
        <v>71</v>
      </c>
      <c r="I12" s="5">
        <v>74.599999999999994</v>
      </c>
      <c r="J12" s="5" t="s">
        <v>53</v>
      </c>
      <c r="K12" s="5" t="s">
        <v>54</v>
      </c>
      <c r="L12" s="5" t="s">
        <v>55</v>
      </c>
      <c r="M12" s="5" t="s">
        <v>115</v>
      </c>
      <c r="N12" s="5" t="s">
        <v>11</v>
      </c>
      <c r="O12" s="5" t="s">
        <v>58</v>
      </c>
      <c r="P12" s="5" t="s">
        <v>59</v>
      </c>
      <c r="Q12" s="6">
        <v>46189</v>
      </c>
      <c r="R12" s="5" t="s">
        <v>60</v>
      </c>
      <c r="S12" s="6">
        <v>46190</v>
      </c>
      <c r="T12" s="5" t="s">
        <v>105</v>
      </c>
      <c r="U12" s="5" t="s">
        <v>110</v>
      </c>
      <c r="V12" s="5" t="s">
        <v>62</v>
      </c>
      <c r="W12" s="5"/>
      <c r="X12" s="6">
        <v>46190</v>
      </c>
      <c r="Y12" s="6">
        <v>46190</v>
      </c>
      <c r="Z12" s="6">
        <v>46190</v>
      </c>
      <c r="AA12" s="5" t="s">
        <v>68</v>
      </c>
      <c r="AB12" s="5" t="s">
        <v>60</v>
      </c>
      <c r="AC12" s="6">
        <v>46190</v>
      </c>
      <c r="AD12" s="5" t="s">
        <v>111</v>
      </c>
      <c r="AE12" s="5" t="s">
        <v>60</v>
      </c>
      <c r="AF12" s="5"/>
      <c r="AG12" s="5"/>
      <c r="AH12" s="5" t="s">
        <v>130</v>
      </c>
      <c r="AI12" s="5" t="s">
        <v>66</v>
      </c>
      <c r="AJ12" s="6">
        <v>46286</v>
      </c>
      <c r="AK12" s="6"/>
      <c r="AL12" s="5" t="s">
        <v>131</v>
      </c>
      <c r="AM12" s="5">
        <v>7904648530</v>
      </c>
      <c r="AN12" s="5"/>
      <c r="AO12" s="5"/>
      <c r="AP12" s="5"/>
      <c r="AQ12" s="5"/>
      <c r="AR12" s="5">
        <v>36000</v>
      </c>
      <c r="AS12" s="5"/>
      <c r="AT12" s="6">
        <v>46272</v>
      </c>
      <c r="AU12" t="str">
        <f t="shared" si="0"/>
        <v>September</v>
      </c>
      <c r="AV12" s="5"/>
      <c r="AW12" s="5" t="s">
        <v>68</v>
      </c>
    </row>
    <row r="13" spans="1:49" s="7" customFormat="1" x14ac:dyDescent="0.35">
      <c r="A13" s="8">
        <v>2359928</v>
      </c>
      <c r="B13" s="8" t="s">
        <v>132</v>
      </c>
      <c r="C13" s="8" t="s">
        <v>133</v>
      </c>
      <c r="D13" s="9">
        <v>46183</v>
      </c>
      <c r="E13" s="8" t="s">
        <v>50</v>
      </c>
      <c r="F13" s="8" t="s">
        <v>134</v>
      </c>
      <c r="G13" s="8" t="s">
        <v>107</v>
      </c>
      <c r="H13" s="8">
        <v>84</v>
      </c>
      <c r="I13" s="8">
        <v>94</v>
      </c>
      <c r="J13" s="8" t="s">
        <v>108</v>
      </c>
      <c r="K13" s="8" t="s">
        <v>54</v>
      </c>
      <c r="L13" s="8" t="s">
        <v>55</v>
      </c>
      <c r="M13" s="8" t="s">
        <v>115</v>
      </c>
      <c r="N13" s="8" t="s">
        <v>11</v>
      </c>
      <c r="O13" s="8" t="s">
        <v>58</v>
      </c>
      <c r="P13" s="8" t="s">
        <v>59</v>
      </c>
      <c r="Q13" s="9">
        <v>46183</v>
      </c>
      <c r="R13" s="8" t="s">
        <v>60</v>
      </c>
      <c r="S13" s="9">
        <v>46184</v>
      </c>
      <c r="T13" s="8" t="s">
        <v>133</v>
      </c>
      <c r="U13" s="8" t="s">
        <v>135</v>
      </c>
      <c r="V13" s="8" t="s">
        <v>62</v>
      </c>
      <c r="W13" s="8"/>
      <c r="X13" s="9">
        <v>46184</v>
      </c>
      <c r="Y13" s="9">
        <v>46184</v>
      </c>
      <c r="Z13" s="9">
        <v>46184</v>
      </c>
      <c r="AA13" s="8" t="s">
        <v>136</v>
      </c>
      <c r="AB13" s="8" t="s">
        <v>60</v>
      </c>
      <c r="AC13" s="9">
        <v>46184</v>
      </c>
      <c r="AD13" s="8" t="s">
        <v>68</v>
      </c>
      <c r="AE13" s="8" t="s">
        <v>60</v>
      </c>
      <c r="AF13" s="8"/>
      <c r="AG13" s="8"/>
      <c r="AH13" s="8" t="s">
        <v>65</v>
      </c>
      <c r="AI13" s="8" t="s">
        <v>66</v>
      </c>
      <c r="AJ13" s="9">
        <v>46195</v>
      </c>
      <c r="AK13" s="9"/>
      <c r="AL13" s="8" t="s">
        <v>137</v>
      </c>
      <c r="AM13" s="8">
        <v>7994764010</v>
      </c>
      <c r="AN13" s="8"/>
      <c r="AO13" s="8"/>
      <c r="AP13" s="8"/>
      <c r="AQ13" s="8"/>
      <c r="AR13" s="8">
        <v>360000</v>
      </c>
      <c r="AS13" s="8"/>
      <c r="AT13" s="9">
        <v>46189</v>
      </c>
      <c r="AU13" t="str">
        <f t="shared" si="0"/>
        <v>June</v>
      </c>
      <c r="AV13" s="8"/>
      <c r="AW13" s="8" t="s">
        <v>68</v>
      </c>
    </row>
    <row r="14" spans="1:49" s="4" customFormat="1" x14ac:dyDescent="0.35">
      <c r="A14" s="5">
        <v>2358672</v>
      </c>
      <c r="B14" s="5" t="s">
        <v>138</v>
      </c>
      <c r="C14" s="5"/>
      <c r="D14" s="6">
        <v>46182</v>
      </c>
      <c r="E14" s="5" t="s">
        <v>50</v>
      </c>
      <c r="F14" s="5" t="s">
        <v>139</v>
      </c>
      <c r="G14" s="5" t="s">
        <v>52</v>
      </c>
      <c r="H14" s="5">
        <v>69.099999999999994</v>
      </c>
      <c r="I14" s="5">
        <v>89.9</v>
      </c>
      <c r="J14" s="5" t="s">
        <v>108</v>
      </c>
      <c r="K14" s="5" t="s">
        <v>54</v>
      </c>
      <c r="L14" s="5" t="s">
        <v>55</v>
      </c>
      <c r="M14" s="5" t="s">
        <v>74</v>
      </c>
      <c r="N14" s="5" t="s">
        <v>140</v>
      </c>
      <c r="O14" s="5" t="s">
        <v>58</v>
      </c>
      <c r="P14" s="5" t="s">
        <v>59</v>
      </c>
      <c r="Q14" s="6">
        <v>46182</v>
      </c>
      <c r="R14" s="5" t="s">
        <v>60</v>
      </c>
      <c r="S14" s="6">
        <v>46205</v>
      </c>
      <c r="T14" s="5" t="s">
        <v>141</v>
      </c>
      <c r="U14" s="5" t="s">
        <v>142</v>
      </c>
      <c r="V14" s="5" t="s">
        <v>62</v>
      </c>
      <c r="W14" s="5"/>
      <c r="X14" s="6">
        <v>46205</v>
      </c>
      <c r="Y14" s="6">
        <v>46205</v>
      </c>
      <c r="Z14" s="6">
        <v>46205</v>
      </c>
      <c r="AA14" s="5" t="s">
        <v>68</v>
      </c>
      <c r="AB14" s="5" t="s">
        <v>60</v>
      </c>
      <c r="AC14" s="6">
        <v>46205</v>
      </c>
      <c r="AD14" s="5" t="s">
        <v>143</v>
      </c>
      <c r="AE14" s="5" t="s">
        <v>60</v>
      </c>
      <c r="AF14" s="5"/>
      <c r="AG14" s="5"/>
      <c r="AH14" s="5" t="s">
        <v>65</v>
      </c>
      <c r="AI14" s="5" t="s">
        <v>66</v>
      </c>
      <c r="AJ14" s="6">
        <v>46223</v>
      </c>
      <c r="AK14" s="6"/>
      <c r="AL14" s="5" t="s">
        <v>144</v>
      </c>
      <c r="AM14" s="5">
        <v>9524539260</v>
      </c>
      <c r="AN14" s="5"/>
      <c r="AO14" s="5"/>
      <c r="AP14" s="5"/>
      <c r="AQ14" s="5"/>
      <c r="AR14" s="5">
        <v>30000</v>
      </c>
      <c r="AS14" s="5"/>
      <c r="AT14" s="6">
        <v>46221</v>
      </c>
      <c r="AU14" t="str">
        <f t="shared" si="0"/>
        <v>July</v>
      </c>
      <c r="AV14" s="5"/>
      <c r="AW14" s="5" t="s">
        <v>68</v>
      </c>
    </row>
    <row r="15" spans="1:49" s="7" customFormat="1" x14ac:dyDescent="0.35">
      <c r="A15" s="8">
        <v>2350544</v>
      </c>
      <c r="B15" s="8" t="s">
        <v>145</v>
      </c>
      <c r="C15" s="8" t="s">
        <v>133</v>
      </c>
      <c r="D15" s="9">
        <v>46174</v>
      </c>
      <c r="E15" s="8" t="s">
        <v>50</v>
      </c>
      <c r="F15" s="8" t="s">
        <v>146</v>
      </c>
      <c r="G15" s="8" t="s">
        <v>52</v>
      </c>
      <c r="H15" s="8">
        <v>86</v>
      </c>
      <c r="I15" s="8">
        <v>69</v>
      </c>
      <c r="J15" s="8" t="s">
        <v>108</v>
      </c>
      <c r="K15" s="8" t="s">
        <v>54</v>
      </c>
      <c r="L15" s="8" t="s">
        <v>55</v>
      </c>
      <c r="M15" s="8" t="s">
        <v>74</v>
      </c>
      <c r="N15" s="8" t="s">
        <v>147</v>
      </c>
      <c r="O15" s="8" t="s">
        <v>58</v>
      </c>
      <c r="P15" s="8" t="s">
        <v>59</v>
      </c>
      <c r="Q15" s="9">
        <v>46174</v>
      </c>
      <c r="R15" s="8" t="s">
        <v>60</v>
      </c>
      <c r="S15" s="9">
        <v>46175</v>
      </c>
      <c r="T15" s="8" t="s">
        <v>133</v>
      </c>
      <c r="U15" s="8" t="s">
        <v>135</v>
      </c>
      <c r="V15" s="8" t="s">
        <v>62</v>
      </c>
      <c r="W15" s="8"/>
      <c r="X15" s="9">
        <v>46175</v>
      </c>
      <c r="Y15" s="9">
        <v>46175</v>
      </c>
      <c r="Z15" s="9">
        <v>46175</v>
      </c>
      <c r="AA15" s="8" t="s">
        <v>68</v>
      </c>
      <c r="AB15" s="8" t="s">
        <v>60</v>
      </c>
      <c r="AC15" s="9">
        <v>46175</v>
      </c>
      <c r="AD15" s="8" t="s">
        <v>136</v>
      </c>
      <c r="AE15" s="8" t="s">
        <v>60</v>
      </c>
      <c r="AF15" s="8"/>
      <c r="AG15" s="8"/>
      <c r="AH15" s="8" t="s">
        <v>65</v>
      </c>
      <c r="AI15" s="8" t="s">
        <v>66</v>
      </c>
      <c r="AJ15" s="9">
        <v>46188</v>
      </c>
      <c r="AK15" s="9"/>
      <c r="AL15" s="8" t="s">
        <v>148</v>
      </c>
      <c r="AM15" s="8">
        <v>9074767332</v>
      </c>
      <c r="AN15" s="8"/>
      <c r="AO15" s="8"/>
      <c r="AP15" s="8"/>
      <c r="AQ15" s="8"/>
      <c r="AR15" s="8">
        <v>360000</v>
      </c>
      <c r="AS15" s="8"/>
      <c r="AT15" s="9">
        <v>46178</v>
      </c>
      <c r="AU15" t="str">
        <f t="shared" si="0"/>
        <v>June</v>
      </c>
      <c r="AV15" s="8"/>
      <c r="AW15" s="8" t="s">
        <v>68</v>
      </c>
    </row>
    <row r="16" spans="1:49" s="4" customFormat="1" x14ac:dyDescent="0.35">
      <c r="A16" s="5">
        <v>2346192</v>
      </c>
      <c r="B16" s="5" t="s">
        <v>149</v>
      </c>
      <c r="C16" s="5" t="s">
        <v>105</v>
      </c>
      <c r="D16" s="6">
        <v>46169</v>
      </c>
      <c r="E16" s="5" t="s">
        <v>50</v>
      </c>
      <c r="F16" s="5" t="s">
        <v>150</v>
      </c>
      <c r="G16" s="5" t="s">
        <v>107</v>
      </c>
      <c r="H16" s="5">
        <v>70</v>
      </c>
      <c r="I16" s="5">
        <v>82</v>
      </c>
      <c r="J16" s="5" t="s">
        <v>108</v>
      </c>
      <c r="K16" s="5" t="s">
        <v>54</v>
      </c>
      <c r="L16" s="5" t="s">
        <v>55</v>
      </c>
      <c r="M16" s="5" t="s">
        <v>115</v>
      </c>
      <c r="N16" s="5" t="s">
        <v>11</v>
      </c>
      <c r="O16" s="5" t="s">
        <v>58</v>
      </c>
      <c r="P16" s="5" t="s">
        <v>59</v>
      </c>
      <c r="Q16" s="6">
        <v>46169</v>
      </c>
      <c r="R16" s="5" t="s">
        <v>60</v>
      </c>
      <c r="S16" s="6">
        <v>46171</v>
      </c>
      <c r="T16" s="5" t="s">
        <v>105</v>
      </c>
      <c r="U16" s="5" t="s">
        <v>110</v>
      </c>
      <c r="V16" s="5" t="s">
        <v>62</v>
      </c>
      <c r="W16" s="5"/>
      <c r="X16" s="6">
        <v>46170</v>
      </c>
      <c r="Y16" s="6">
        <v>46171</v>
      </c>
      <c r="Z16" s="6">
        <v>46170</v>
      </c>
      <c r="AA16" s="5" t="s">
        <v>111</v>
      </c>
      <c r="AB16" s="5" t="s">
        <v>60</v>
      </c>
      <c r="AC16" s="6">
        <v>46170</v>
      </c>
      <c r="AD16" s="5" t="s">
        <v>64</v>
      </c>
      <c r="AE16" s="5" t="s">
        <v>60</v>
      </c>
      <c r="AF16" s="5"/>
      <c r="AG16" s="5"/>
      <c r="AH16" s="5" t="s">
        <v>65</v>
      </c>
      <c r="AI16" s="5" t="s">
        <v>66</v>
      </c>
      <c r="AJ16" s="6">
        <v>46181</v>
      </c>
      <c r="AK16" s="6"/>
      <c r="AL16" s="5" t="s">
        <v>151</v>
      </c>
      <c r="AM16" s="5">
        <v>8428103045</v>
      </c>
      <c r="AN16" s="5"/>
      <c r="AO16" s="5"/>
      <c r="AP16" s="5"/>
      <c r="AQ16" s="5"/>
      <c r="AR16" s="5">
        <v>360000</v>
      </c>
      <c r="AS16" s="5"/>
      <c r="AT16" s="6">
        <v>46177</v>
      </c>
      <c r="AU16" t="str">
        <f t="shared" si="0"/>
        <v>June</v>
      </c>
      <c r="AV16" s="5"/>
      <c r="AW16" s="5" t="s">
        <v>68</v>
      </c>
    </row>
    <row r="17" spans="1:49" s="7" customFormat="1" x14ac:dyDescent="0.35">
      <c r="A17" s="8">
        <v>2340515</v>
      </c>
      <c r="B17" s="8" t="s">
        <v>152</v>
      </c>
      <c r="C17" s="8" t="s">
        <v>49</v>
      </c>
      <c r="D17" s="9">
        <v>46164</v>
      </c>
      <c r="E17" s="8" t="s">
        <v>50</v>
      </c>
      <c r="F17" s="8" t="s">
        <v>153</v>
      </c>
      <c r="G17" s="8" t="s">
        <v>107</v>
      </c>
      <c r="H17" s="8">
        <v>69</v>
      </c>
      <c r="I17" s="8">
        <v>78</v>
      </c>
      <c r="J17" s="8" t="s">
        <v>108</v>
      </c>
      <c r="K17" s="8" t="s">
        <v>54</v>
      </c>
      <c r="L17" s="8" t="s">
        <v>55</v>
      </c>
      <c r="M17" s="8" t="s">
        <v>115</v>
      </c>
      <c r="N17" s="8" t="s">
        <v>11</v>
      </c>
      <c r="O17" s="8" t="s">
        <v>58</v>
      </c>
      <c r="P17" s="8" t="s">
        <v>59</v>
      </c>
      <c r="Q17" s="9">
        <v>46164</v>
      </c>
      <c r="R17" s="8" t="s">
        <v>60</v>
      </c>
      <c r="S17" s="9">
        <v>46164</v>
      </c>
      <c r="T17" s="8" t="s">
        <v>49</v>
      </c>
      <c r="U17" s="8" t="s">
        <v>125</v>
      </c>
      <c r="V17" s="8" t="s">
        <v>62</v>
      </c>
      <c r="W17" s="8"/>
      <c r="X17" s="9">
        <v>46164</v>
      </c>
      <c r="Y17" s="9">
        <v>46164</v>
      </c>
      <c r="Z17" s="9">
        <v>46164</v>
      </c>
      <c r="AA17" s="8" t="s">
        <v>126</v>
      </c>
      <c r="AB17" s="8" t="s">
        <v>60</v>
      </c>
      <c r="AC17" s="9">
        <v>46164</v>
      </c>
      <c r="AD17" s="8" t="s">
        <v>64</v>
      </c>
      <c r="AE17" s="8" t="s">
        <v>60</v>
      </c>
      <c r="AF17" s="8"/>
      <c r="AG17" s="8"/>
      <c r="AH17" s="8" t="s">
        <v>65</v>
      </c>
      <c r="AI17" s="8" t="s">
        <v>66</v>
      </c>
      <c r="AJ17" s="9">
        <v>46167</v>
      </c>
      <c r="AK17" s="9"/>
      <c r="AL17" s="8" t="s">
        <v>154</v>
      </c>
      <c r="AM17" s="8">
        <v>6369577423</v>
      </c>
      <c r="AN17" s="8"/>
      <c r="AO17" s="8"/>
      <c r="AP17" s="8"/>
      <c r="AQ17" s="8"/>
      <c r="AR17" s="8">
        <v>360000</v>
      </c>
      <c r="AS17" s="8"/>
      <c r="AT17" s="9">
        <v>46165</v>
      </c>
      <c r="AU17" t="str">
        <f t="shared" si="0"/>
        <v>May</v>
      </c>
      <c r="AV17" s="8"/>
      <c r="AW17" s="8" t="s">
        <v>68</v>
      </c>
    </row>
    <row r="18" spans="1:49" s="4" customFormat="1" x14ac:dyDescent="0.35">
      <c r="A18" s="5">
        <v>2336582</v>
      </c>
      <c r="B18" s="5" t="s">
        <v>155</v>
      </c>
      <c r="C18" s="5" t="s">
        <v>70</v>
      </c>
      <c r="D18" s="6">
        <v>46161</v>
      </c>
      <c r="E18" s="5" t="s">
        <v>50</v>
      </c>
      <c r="F18" s="5" t="s">
        <v>156</v>
      </c>
      <c r="G18" s="5" t="s">
        <v>52</v>
      </c>
      <c r="H18" s="5">
        <v>89</v>
      </c>
      <c r="I18" s="5">
        <v>70</v>
      </c>
      <c r="J18" s="5" t="s">
        <v>72</v>
      </c>
      <c r="K18" s="5" t="s">
        <v>73</v>
      </c>
      <c r="L18" s="5" t="s">
        <v>55</v>
      </c>
      <c r="M18" s="5" t="s">
        <v>74</v>
      </c>
      <c r="N18" s="5" t="s">
        <v>157</v>
      </c>
      <c r="O18" s="5" t="s">
        <v>58</v>
      </c>
      <c r="P18" s="5" t="s">
        <v>59</v>
      </c>
      <c r="Q18" s="6">
        <v>46161</v>
      </c>
      <c r="R18" s="5" t="s">
        <v>60</v>
      </c>
      <c r="S18" s="6">
        <v>46162</v>
      </c>
      <c r="T18" s="5" t="s">
        <v>70</v>
      </c>
      <c r="U18" s="5" t="s">
        <v>76</v>
      </c>
      <c r="V18" s="5" t="s">
        <v>62</v>
      </c>
      <c r="W18" s="5"/>
      <c r="X18" s="6">
        <v>46162</v>
      </c>
      <c r="Y18" s="6">
        <v>46162</v>
      </c>
      <c r="Z18" s="6">
        <v>46162</v>
      </c>
      <c r="AA18" s="5" t="s">
        <v>68</v>
      </c>
      <c r="AB18" s="5" t="s">
        <v>60</v>
      </c>
      <c r="AC18" s="6">
        <v>46162</v>
      </c>
      <c r="AD18" s="5" t="s">
        <v>84</v>
      </c>
      <c r="AE18" s="5" t="s">
        <v>60</v>
      </c>
      <c r="AF18" s="5"/>
      <c r="AG18" s="5"/>
      <c r="AH18" s="5" t="s">
        <v>65</v>
      </c>
      <c r="AI18" s="5" t="s">
        <v>78</v>
      </c>
      <c r="AJ18" s="6">
        <v>46174</v>
      </c>
      <c r="AK18" s="6"/>
      <c r="AL18" s="5" t="s">
        <v>158</v>
      </c>
      <c r="AM18" s="5">
        <v>7373329613</v>
      </c>
      <c r="AN18" s="5"/>
      <c r="AO18" s="5"/>
      <c r="AP18" s="5"/>
      <c r="AQ18" s="5"/>
      <c r="AR18" s="5">
        <v>480000</v>
      </c>
      <c r="AS18" s="5"/>
      <c r="AT18" s="6">
        <v>46171</v>
      </c>
      <c r="AU18" t="str">
        <f t="shared" si="0"/>
        <v>May</v>
      </c>
      <c r="AV18" s="5"/>
      <c r="AW18" s="5" t="s">
        <v>68</v>
      </c>
    </row>
    <row r="19" spans="1:49" s="7" customFormat="1" x14ac:dyDescent="0.35">
      <c r="A19" s="8">
        <v>2332209</v>
      </c>
      <c r="B19" s="8" t="s">
        <v>159</v>
      </c>
      <c r="C19" s="8" t="s">
        <v>49</v>
      </c>
      <c r="D19" s="9">
        <v>46156</v>
      </c>
      <c r="E19" s="8" t="s">
        <v>50</v>
      </c>
      <c r="F19" s="8" t="s">
        <v>160</v>
      </c>
      <c r="G19" s="8" t="s">
        <v>52</v>
      </c>
      <c r="H19" s="8">
        <v>83</v>
      </c>
      <c r="I19" s="8">
        <v>85</v>
      </c>
      <c r="J19" s="8" t="s">
        <v>72</v>
      </c>
      <c r="K19" s="8" t="s">
        <v>73</v>
      </c>
      <c r="L19" s="8" t="s">
        <v>55</v>
      </c>
      <c r="M19" s="8" t="s">
        <v>74</v>
      </c>
      <c r="N19" s="8" t="s">
        <v>124</v>
      </c>
      <c r="O19" s="8" t="s">
        <v>58</v>
      </c>
      <c r="P19" s="8" t="s">
        <v>59</v>
      </c>
      <c r="Q19" s="9">
        <v>46156</v>
      </c>
      <c r="R19" s="8" t="s">
        <v>60</v>
      </c>
      <c r="S19" s="9">
        <v>46158</v>
      </c>
      <c r="T19" s="8" t="s">
        <v>49</v>
      </c>
      <c r="U19" s="8" t="s">
        <v>83</v>
      </c>
      <c r="V19" s="8" t="s">
        <v>62</v>
      </c>
      <c r="W19" s="8"/>
      <c r="X19" s="9">
        <v>46158</v>
      </c>
      <c r="Y19" s="9">
        <v>46158</v>
      </c>
      <c r="Z19" s="9">
        <v>46158</v>
      </c>
      <c r="AA19" s="8" t="s">
        <v>68</v>
      </c>
      <c r="AB19" s="8" t="s">
        <v>60</v>
      </c>
      <c r="AC19" s="9">
        <v>46158</v>
      </c>
      <c r="AD19" s="8" t="s">
        <v>84</v>
      </c>
      <c r="AE19" s="8" t="s">
        <v>60</v>
      </c>
      <c r="AF19" s="8"/>
      <c r="AG19" s="8"/>
      <c r="AH19" s="8" t="s">
        <v>65</v>
      </c>
      <c r="AI19" s="8" t="s">
        <v>78</v>
      </c>
      <c r="AJ19" s="9">
        <v>46167</v>
      </c>
      <c r="AK19" s="9"/>
      <c r="AL19" s="8" t="s">
        <v>161</v>
      </c>
      <c r="AM19" s="8">
        <v>9489511649</v>
      </c>
      <c r="AN19" s="8"/>
      <c r="AO19" s="8"/>
      <c r="AP19" s="8"/>
      <c r="AQ19" s="8"/>
      <c r="AR19" s="8">
        <v>400008</v>
      </c>
      <c r="AS19" s="8"/>
      <c r="AT19" s="9">
        <v>46165</v>
      </c>
      <c r="AU19" t="str">
        <f t="shared" si="0"/>
        <v>May</v>
      </c>
      <c r="AV19" s="8"/>
      <c r="AW19" s="8" t="s">
        <v>68</v>
      </c>
    </row>
    <row r="20" spans="1:49" s="4" customFormat="1" x14ac:dyDescent="0.35">
      <c r="A20" s="5">
        <v>2325719</v>
      </c>
      <c r="B20" s="5" t="s">
        <v>162</v>
      </c>
      <c r="C20" s="5" t="s">
        <v>105</v>
      </c>
      <c r="D20" s="6">
        <v>46149</v>
      </c>
      <c r="E20" s="5" t="s">
        <v>50</v>
      </c>
      <c r="F20" s="5" t="s">
        <v>163</v>
      </c>
      <c r="G20" s="5" t="s">
        <v>107</v>
      </c>
      <c r="H20" s="5">
        <v>66.8</v>
      </c>
      <c r="I20" s="5">
        <v>81.8</v>
      </c>
      <c r="J20" s="5" t="s">
        <v>108</v>
      </c>
      <c r="K20" s="5" t="s">
        <v>54</v>
      </c>
      <c r="L20" s="5" t="s">
        <v>55</v>
      </c>
      <c r="M20" s="5" t="s">
        <v>115</v>
      </c>
      <c r="N20" s="5" t="s">
        <v>11</v>
      </c>
      <c r="O20" s="5" t="s">
        <v>58</v>
      </c>
      <c r="P20" s="5" t="s">
        <v>59</v>
      </c>
      <c r="Q20" s="6">
        <v>46149</v>
      </c>
      <c r="R20" s="5" t="s">
        <v>60</v>
      </c>
      <c r="S20" s="6">
        <v>46150</v>
      </c>
      <c r="T20" s="5" t="s">
        <v>105</v>
      </c>
      <c r="U20" s="5" t="s">
        <v>110</v>
      </c>
      <c r="V20" s="5" t="s">
        <v>62</v>
      </c>
      <c r="W20" s="5"/>
      <c r="X20" s="6">
        <v>46150</v>
      </c>
      <c r="Y20" s="6">
        <v>46150</v>
      </c>
      <c r="Z20" s="6">
        <v>46150</v>
      </c>
      <c r="AA20" s="5" t="s">
        <v>111</v>
      </c>
      <c r="AB20" s="5" t="s">
        <v>60</v>
      </c>
      <c r="AC20" s="6">
        <v>46150</v>
      </c>
      <c r="AD20" s="5" t="s">
        <v>64</v>
      </c>
      <c r="AE20" s="5" t="s">
        <v>60</v>
      </c>
      <c r="AF20" s="5"/>
      <c r="AG20" s="5"/>
      <c r="AH20" s="5" t="s">
        <v>65</v>
      </c>
      <c r="AI20" s="5" t="s">
        <v>66</v>
      </c>
      <c r="AJ20" s="6">
        <v>46160</v>
      </c>
      <c r="AK20" s="6"/>
      <c r="AL20" s="5" t="s">
        <v>164</v>
      </c>
      <c r="AM20" s="5">
        <v>9751618349</v>
      </c>
      <c r="AN20" s="5"/>
      <c r="AO20" s="5"/>
      <c r="AP20" s="5"/>
      <c r="AQ20" s="5"/>
      <c r="AR20" s="5">
        <v>360000</v>
      </c>
      <c r="AS20" s="5"/>
      <c r="AT20" s="6">
        <v>46154</v>
      </c>
      <c r="AU20" t="str">
        <f t="shared" si="0"/>
        <v>May</v>
      </c>
      <c r="AV20" s="5"/>
      <c r="AW20" s="5" t="s">
        <v>68</v>
      </c>
    </row>
    <row r="21" spans="1:49" s="7" customFormat="1" x14ac:dyDescent="0.35">
      <c r="A21" s="8">
        <v>2325617</v>
      </c>
      <c r="B21" s="8" t="s">
        <v>165</v>
      </c>
      <c r="C21" s="8" t="s">
        <v>49</v>
      </c>
      <c r="D21" s="9">
        <v>46149</v>
      </c>
      <c r="E21" s="8" t="s">
        <v>50</v>
      </c>
      <c r="F21" s="8" t="s">
        <v>166</v>
      </c>
      <c r="G21" s="8" t="s">
        <v>107</v>
      </c>
      <c r="H21" s="8">
        <v>92</v>
      </c>
      <c r="I21" s="8">
        <v>82</v>
      </c>
      <c r="J21" s="8" t="s">
        <v>108</v>
      </c>
      <c r="K21" s="8" t="s">
        <v>54</v>
      </c>
      <c r="L21" s="8" t="s">
        <v>55</v>
      </c>
      <c r="M21" s="8" t="s">
        <v>74</v>
      </c>
      <c r="N21" s="8" t="s">
        <v>167</v>
      </c>
      <c r="O21" s="8" t="s">
        <v>58</v>
      </c>
      <c r="P21" s="8" t="s">
        <v>59</v>
      </c>
      <c r="Q21" s="9">
        <v>46149</v>
      </c>
      <c r="R21" s="8" t="s">
        <v>60</v>
      </c>
      <c r="S21" s="9">
        <v>46153</v>
      </c>
      <c r="T21" s="8" t="s">
        <v>49</v>
      </c>
      <c r="U21" s="8" t="s">
        <v>120</v>
      </c>
      <c r="V21" s="8" t="s">
        <v>62</v>
      </c>
      <c r="W21" s="8"/>
      <c r="X21" s="9">
        <v>46153</v>
      </c>
      <c r="Y21" s="9">
        <v>46153</v>
      </c>
      <c r="Z21" s="9">
        <v>46153</v>
      </c>
      <c r="AA21" s="8" t="s">
        <v>68</v>
      </c>
      <c r="AB21" s="8" t="s">
        <v>60</v>
      </c>
      <c r="AC21" s="9">
        <v>46153</v>
      </c>
      <c r="AD21" s="8" t="s">
        <v>64</v>
      </c>
      <c r="AE21" s="8" t="s">
        <v>60</v>
      </c>
      <c r="AF21" s="8"/>
      <c r="AG21" s="8"/>
      <c r="AH21" s="8" t="s">
        <v>65</v>
      </c>
      <c r="AI21" s="8" t="s">
        <v>66</v>
      </c>
      <c r="AJ21" s="9">
        <v>46167</v>
      </c>
      <c r="AK21" s="9"/>
      <c r="AL21" s="8" t="s">
        <v>168</v>
      </c>
      <c r="AM21" s="8">
        <v>8056942210</v>
      </c>
      <c r="AN21" s="8"/>
      <c r="AO21" s="8"/>
      <c r="AP21" s="8"/>
      <c r="AQ21" s="8"/>
      <c r="AR21" s="8">
        <v>360000</v>
      </c>
      <c r="AS21" s="8"/>
      <c r="AT21" s="9">
        <v>46155</v>
      </c>
      <c r="AU21" t="str">
        <f t="shared" si="0"/>
        <v>May</v>
      </c>
      <c r="AV21" s="8"/>
      <c r="AW21" s="8" t="s">
        <v>68</v>
      </c>
    </row>
    <row r="22" spans="1:49" s="4" customFormat="1" x14ac:dyDescent="0.35">
      <c r="A22" s="5">
        <v>2294348</v>
      </c>
      <c r="B22" s="5" t="s">
        <v>169</v>
      </c>
      <c r="C22" s="5" t="s">
        <v>49</v>
      </c>
      <c r="D22" s="6">
        <v>46121</v>
      </c>
      <c r="E22" s="5" t="s">
        <v>50</v>
      </c>
      <c r="F22" s="5" t="s">
        <v>170</v>
      </c>
      <c r="G22" s="5" t="s">
        <v>52</v>
      </c>
      <c r="H22" s="5">
        <v>60</v>
      </c>
      <c r="I22" s="5">
        <v>75</v>
      </c>
      <c r="J22" s="5" t="s">
        <v>53</v>
      </c>
      <c r="K22" s="5" t="s">
        <v>54</v>
      </c>
      <c r="L22" s="5" t="s">
        <v>55</v>
      </c>
      <c r="M22" s="5" t="s">
        <v>115</v>
      </c>
      <c r="N22" s="5" t="s">
        <v>11</v>
      </c>
      <c r="O22" s="5" t="s">
        <v>58</v>
      </c>
      <c r="P22" s="5" t="s">
        <v>59</v>
      </c>
      <c r="Q22" s="6">
        <v>46121</v>
      </c>
      <c r="R22" s="5" t="s">
        <v>60</v>
      </c>
      <c r="S22" s="6">
        <v>46122</v>
      </c>
      <c r="T22" s="5" t="s">
        <v>49</v>
      </c>
      <c r="U22" s="5" t="s">
        <v>120</v>
      </c>
      <c r="V22" s="5" t="s">
        <v>62</v>
      </c>
      <c r="W22" s="5"/>
      <c r="X22" s="6">
        <v>46122</v>
      </c>
      <c r="Y22" s="6">
        <v>46122</v>
      </c>
      <c r="Z22" s="6">
        <v>46122</v>
      </c>
      <c r="AA22" s="5" t="s">
        <v>68</v>
      </c>
      <c r="AB22" s="5" t="s">
        <v>60</v>
      </c>
      <c r="AC22" s="6">
        <v>46122</v>
      </c>
      <c r="AD22" s="5" t="s">
        <v>64</v>
      </c>
      <c r="AE22" s="5" t="s">
        <v>60</v>
      </c>
      <c r="AF22" s="5"/>
      <c r="AG22" s="5"/>
      <c r="AH22" s="5" t="s">
        <v>171</v>
      </c>
      <c r="AI22" s="5" t="s">
        <v>66</v>
      </c>
      <c r="AJ22" s="6">
        <v>46167</v>
      </c>
      <c r="AK22" s="6"/>
      <c r="AL22" s="5" t="s">
        <v>172</v>
      </c>
      <c r="AM22" s="5">
        <v>6385405434</v>
      </c>
      <c r="AN22" s="5"/>
      <c r="AO22" s="5"/>
      <c r="AP22" s="5"/>
      <c r="AQ22" s="5"/>
      <c r="AR22" s="5">
        <v>36000</v>
      </c>
      <c r="AS22" s="5"/>
      <c r="AT22" s="6">
        <v>46134</v>
      </c>
      <c r="AU22" t="str">
        <f t="shared" si="0"/>
        <v>April</v>
      </c>
      <c r="AV22" s="5"/>
      <c r="AW22" s="5" t="s">
        <v>68</v>
      </c>
    </row>
    <row r="23" spans="1:49" s="7" customFormat="1" x14ac:dyDescent="0.35">
      <c r="A23" s="8">
        <v>2283547</v>
      </c>
      <c r="B23" s="8" t="s">
        <v>173</v>
      </c>
      <c r="C23" s="8"/>
      <c r="D23" s="9">
        <v>46112</v>
      </c>
      <c r="E23" s="8" t="s">
        <v>50</v>
      </c>
      <c r="F23" s="8" t="s">
        <v>174</v>
      </c>
      <c r="G23" s="8" t="s">
        <v>52</v>
      </c>
      <c r="H23" s="8">
        <v>63.2</v>
      </c>
      <c r="I23" s="8">
        <v>74.5</v>
      </c>
      <c r="J23" s="8" t="s">
        <v>108</v>
      </c>
      <c r="K23" s="8" t="s">
        <v>54</v>
      </c>
      <c r="L23" s="8" t="s">
        <v>55</v>
      </c>
      <c r="M23" s="8" t="s">
        <v>175</v>
      </c>
      <c r="N23" s="8" t="s">
        <v>176</v>
      </c>
      <c r="O23" s="8" t="s">
        <v>58</v>
      </c>
      <c r="P23" s="8" t="s">
        <v>177</v>
      </c>
      <c r="Q23" s="9">
        <v>46112</v>
      </c>
      <c r="R23" s="8" t="s">
        <v>60</v>
      </c>
      <c r="S23" s="9">
        <v>46113</v>
      </c>
      <c r="T23" s="8" t="s">
        <v>178</v>
      </c>
      <c r="U23" s="8" t="s">
        <v>179</v>
      </c>
      <c r="V23" s="8" t="s">
        <v>62</v>
      </c>
      <c r="W23" s="8"/>
      <c r="X23" s="9">
        <v>46114</v>
      </c>
      <c r="Y23" s="9">
        <v>46114</v>
      </c>
      <c r="Z23" s="9">
        <v>46114</v>
      </c>
      <c r="AA23" s="8" t="s">
        <v>180</v>
      </c>
      <c r="AB23" s="8" t="s">
        <v>60</v>
      </c>
      <c r="AC23" s="9">
        <v>46114</v>
      </c>
      <c r="AD23" s="8" t="s">
        <v>68</v>
      </c>
      <c r="AE23" s="8" t="s">
        <v>60</v>
      </c>
      <c r="AF23" s="8"/>
      <c r="AG23" s="8"/>
      <c r="AH23" s="8" t="s">
        <v>65</v>
      </c>
      <c r="AI23" s="8" t="s">
        <v>66</v>
      </c>
      <c r="AJ23" s="9">
        <v>46125</v>
      </c>
      <c r="AK23" s="9"/>
      <c r="AL23" s="8" t="s">
        <v>181</v>
      </c>
      <c r="AM23" s="8">
        <v>7358773334</v>
      </c>
      <c r="AN23" s="8"/>
      <c r="AO23" s="8"/>
      <c r="AP23" s="8"/>
      <c r="AQ23" s="8"/>
      <c r="AR23" s="8"/>
      <c r="AS23" s="8"/>
      <c r="AT23" s="8"/>
      <c r="AU23" t="str">
        <f t="shared" si="0"/>
        <v>January</v>
      </c>
      <c r="AV23" s="8"/>
      <c r="AW23" s="8" t="s">
        <v>68</v>
      </c>
    </row>
    <row r="24" spans="1:49" s="4" customFormat="1" x14ac:dyDescent="0.35">
      <c r="A24" s="5">
        <v>2271247</v>
      </c>
      <c r="B24" s="5" t="s">
        <v>182</v>
      </c>
      <c r="C24" s="5"/>
      <c r="D24" s="6">
        <v>46099</v>
      </c>
      <c r="E24" s="5" t="s">
        <v>50</v>
      </c>
      <c r="F24" s="5" t="s">
        <v>183</v>
      </c>
      <c r="G24" s="5" t="s">
        <v>52</v>
      </c>
      <c r="H24" s="5">
        <v>90.2</v>
      </c>
      <c r="I24" s="5">
        <v>70.25</v>
      </c>
      <c r="J24" s="5" t="s">
        <v>72</v>
      </c>
      <c r="K24" s="5" t="s">
        <v>73</v>
      </c>
      <c r="L24" s="5" t="s">
        <v>55</v>
      </c>
      <c r="M24" s="5" t="s">
        <v>74</v>
      </c>
      <c r="N24" s="5" t="s">
        <v>184</v>
      </c>
      <c r="O24" s="5" t="s">
        <v>58</v>
      </c>
      <c r="P24" s="5" t="s">
        <v>59</v>
      </c>
      <c r="Q24" s="6">
        <v>46099</v>
      </c>
      <c r="R24" s="5" t="s">
        <v>60</v>
      </c>
      <c r="S24" s="6">
        <v>46106</v>
      </c>
      <c r="T24" s="5" t="s">
        <v>105</v>
      </c>
      <c r="U24" s="5" t="s">
        <v>185</v>
      </c>
      <c r="V24" s="5" t="s">
        <v>62</v>
      </c>
      <c r="W24" s="5"/>
      <c r="X24" s="6">
        <v>46106</v>
      </c>
      <c r="Y24" s="6">
        <v>46106</v>
      </c>
      <c r="Z24" s="6">
        <v>46106</v>
      </c>
      <c r="AA24" s="5" t="s">
        <v>68</v>
      </c>
      <c r="AB24" s="5" t="s">
        <v>60</v>
      </c>
      <c r="AC24" s="6">
        <v>46106</v>
      </c>
      <c r="AD24" s="5" t="s">
        <v>186</v>
      </c>
      <c r="AE24" s="5" t="s">
        <v>60</v>
      </c>
      <c r="AF24" s="5"/>
      <c r="AG24" s="5"/>
      <c r="AH24" s="5" t="s">
        <v>65</v>
      </c>
      <c r="AI24" s="5" t="s">
        <v>78</v>
      </c>
      <c r="AJ24" s="6">
        <v>46125</v>
      </c>
      <c r="AK24" s="6"/>
      <c r="AL24" s="5" t="s">
        <v>187</v>
      </c>
      <c r="AM24" s="5">
        <v>7708705462</v>
      </c>
      <c r="AN24" s="5"/>
      <c r="AO24" s="5"/>
      <c r="AP24" s="5"/>
      <c r="AQ24" s="5"/>
      <c r="AR24" s="5">
        <v>37000</v>
      </c>
      <c r="AS24" s="5"/>
      <c r="AT24" s="6">
        <v>46107</v>
      </c>
      <c r="AU24" t="str">
        <f t="shared" si="0"/>
        <v>March</v>
      </c>
      <c r="AV24" s="5"/>
      <c r="AW24" s="5" t="s">
        <v>68</v>
      </c>
    </row>
    <row r="25" spans="1:49" s="7" customFormat="1" x14ac:dyDescent="0.35">
      <c r="A25" s="8">
        <v>2269924</v>
      </c>
      <c r="B25" s="8" t="s">
        <v>188</v>
      </c>
      <c r="C25" s="8" t="s">
        <v>49</v>
      </c>
      <c r="D25" s="9">
        <v>46098</v>
      </c>
      <c r="E25" s="8" t="s">
        <v>50</v>
      </c>
      <c r="F25" s="8" t="s">
        <v>189</v>
      </c>
      <c r="G25" s="8" t="s">
        <v>107</v>
      </c>
      <c r="H25" s="8">
        <v>80</v>
      </c>
      <c r="I25" s="8">
        <v>80</v>
      </c>
      <c r="J25" s="8" t="s">
        <v>108</v>
      </c>
      <c r="K25" s="8" t="s">
        <v>54</v>
      </c>
      <c r="L25" s="8" t="s">
        <v>55</v>
      </c>
      <c r="M25" s="8" t="s">
        <v>74</v>
      </c>
      <c r="N25" s="8" t="s">
        <v>190</v>
      </c>
      <c r="O25" s="8" t="s">
        <v>58</v>
      </c>
      <c r="P25" s="8" t="s">
        <v>59</v>
      </c>
      <c r="Q25" s="9">
        <v>46098</v>
      </c>
      <c r="R25" s="8" t="s">
        <v>60</v>
      </c>
      <c r="S25" s="9">
        <v>46105</v>
      </c>
      <c r="T25" s="8" t="s">
        <v>49</v>
      </c>
      <c r="U25" s="8" t="s">
        <v>120</v>
      </c>
      <c r="V25" s="8" t="s">
        <v>62</v>
      </c>
      <c r="W25" s="8"/>
      <c r="X25" s="9">
        <v>46105</v>
      </c>
      <c r="Y25" s="9">
        <v>46105</v>
      </c>
      <c r="Z25" s="9">
        <v>46105</v>
      </c>
      <c r="AA25" s="8"/>
      <c r="AB25" s="8" t="s">
        <v>60</v>
      </c>
      <c r="AC25" s="9">
        <v>46105</v>
      </c>
      <c r="AD25" s="8" t="s">
        <v>64</v>
      </c>
      <c r="AE25" s="8" t="s">
        <v>60</v>
      </c>
      <c r="AF25" s="8"/>
      <c r="AG25" s="8"/>
      <c r="AH25" s="8" t="s">
        <v>191</v>
      </c>
      <c r="AI25" s="8" t="s">
        <v>66</v>
      </c>
      <c r="AJ25" s="9">
        <v>46111</v>
      </c>
      <c r="AK25" s="9"/>
      <c r="AL25" s="8" t="s">
        <v>192</v>
      </c>
      <c r="AM25" s="8">
        <v>9976327484</v>
      </c>
      <c r="AN25" s="8"/>
      <c r="AO25" s="8"/>
      <c r="AP25" s="8"/>
      <c r="AQ25" s="8"/>
      <c r="AR25" s="8">
        <v>30000</v>
      </c>
      <c r="AS25" s="8"/>
      <c r="AT25" s="9">
        <v>46108</v>
      </c>
      <c r="AU25" t="str">
        <f t="shared" si="0"/>
        <v>March</v>
      </c>
      <c r="AV25" s="8"/>
      <c r="AW25" s="8" t="s">
        <v>68</v>
      </c>
    </row>
    <row r="26" spans="1:49" s="4" customFormat="1" x14ac:dyDescent="0.35">
      <c r="A26" s="5">
        <v>2263333</v>
      </c>
      <c r="B26" s="5" t="s">
        <v>193</v>
      </c>
      <c r="C26" s="5" t="s">
        <v>133</v>
      </c>
      <c r="D26" s="6">
        <v>46092</v>
      </c>
      <c r="E26" s="5" t="s">
        <v>50</v>
      </c>
      <c r="F26" s="5" t="s">
        <v>194</v>
      </c>
      <c r="G26" s="5" t="s">
        <v>52</v>
      </c>
      <c r="H26" s="5">
        <v>68.400000000000006</v>
      </c>
      <c r="I26" s="5">
        <v>85.33</v>
      </c>
      <c r="J26" s="5" t="s">
        <v>72</v>
      </c>
      <c r="K26" s="5" t="s">
        <v>73</v>
      </c>
      <c r="L26" s="5" t="s">
        <v>55</v>
      </c>
      <c r="M26" s="5" t="s">
        <v>56</v>
      </c>
      <c r="N26" s="5" t="s">
        <v>57</v>
      </c>
      <c r="O26" s="5" t="s">
        <v>58</v>
      </c>
      <c r="P26" s="5" t="s">
        <v>59</v>
      </c>
      <c r="Q26" s="6">
        <v>46092</v>
      </c>
      <c r="R26" s="5" t="s">
        <v>60</v>
      </c>
      <c r="S26" s="6">
        <v>46092</v>
      </c>
      <c r="T26" s="5" t="s">
        <v>133</v>
      </c>
      <c r="U26" s="5" t="s">
        <v>195</v>
      </c>
      <c r="V26" s="5" t="s">
        <v>62</v>
      </c>
      <c r="W26" s="5"/>
      <c r="X26" s="6">
        <v>46092</v>
      </c>
      <c r="Y26" s="6">
        <v>46092</v>
      </c>
      <c r="Z26" s="6">
        <v>46092</v>
      </c>
      <c r="AA26" s="5" t="s">
        <v>68</v>
      </c>
      <c r="AB26" s="5" t="s">
        <v>60</v>
      </c>
      <c r="AC26" s="6">
        <v>46092</v>
      </c>
      <c r="AD26" s="5" t="s">
        <v>186</v>
      </c>
      <c r="AE26" s="5" t="s">
        <v>60</v>
      </c>
      <c r="AF26" s="5"/>
      <c r="AG26" s="5"/>
      <c r="AH26" s="5" t="s">
        <v>65</v>
      </c>
      <c r="AI26" s="5" t="s">
        <v>78</v>
      </c>
      <c r="AJ26" s="6">
        <v>46111</v>
      </c>
      <c r="AK26" s="6"/>
      <c r="AL26" s="5" t="s">
        <v>196</v>
      </c>
      <c r="AM26" s="5">
        <v>9526482376</v>
      </c>
      <c r="AN26" s="5"/>
      <c r="AO26" s="5"/>
      <c r="AP26" s="5"/>
      <c r="AQ26" s="5"/>
      <c r="AR26" s="5">
        <v>400008</v>
      </c>
      <c r="AS26" s="5"/>
      <c r="AT26" s="6">
        <v>46094</v>
      </c>
      <c r="AU26" t="str">
        <f t="shared" si="0"/>
        <v>March</v>
      </c>
      <c r="AV26" s="5"/>
      <c r="AW26" s="5" t="s">
        <v>68</v>
      </c>
    </row>
    <row r="27" spans="1:49" s="7" customFormat="1" x14ac:dyDescent="0.35">
      <c r="A27" s="8">
        <v>2263059</v>
      </c>
      <c r="B27" s="8" t="s">
        <v>197</v>
      </c>
      <c r="C27" s="8" t="s">
        <v>49</v>
      </c>
      <c r="D27" s="9">
        <v>46092</v>
      </c>
      <c r="E27" s="8" t="s">
        <v>50</v>
      </c>
      <c r="F27" s="8" t="s">
        <v>198</v>
      </c>
      <c r="G27" s="8" t="s">
        <v>52</v>
      </c>
      <c r="H27" s="8">
        <v>70</v>
      </c>
      <c r="I27" s="8">
        <v>62</v>
      </c>
      <c r="J27" s="8" t="s">
        <v>108</v>
      </c>
      <c r="K27" s="8" t="s">
        <v>54</v>
      </c>
      <c r="L27" s="8" t="s">
        <v>55</v>
      </c>
      <c r="M27" s="8" t="s">
        <v>74</v>
      </c>
      <c r="N27" s="8" t="s">
        <v>199</v>
      </c>
      <c r="O27" s="8" t="s">
        <v>58</v>
      </c>
      <c r="P27" s="8" t="s">
        <v>59</v>
      </c>
      <c r="Q27" s="9">
        <v>46092</v>
      </c>
      <c r="R27" s="8" t="s">
        <v>60</v>
      </c>
      <c r="S27" s="9">
        <v>46098</v>
      </c>
      <c r="T27" s="8" t="s">
        <v>49</v>
      </c>
      <c r="U27" s="8" t="s">
        <v>200</v>
      </c>
      <c r="V27" s="8" t="s">
        <v>62</v>
      </c>
      <c r="W27" s="8"/>
      <c r="X27" s="9">
        <v>46098</v>
      </c>
      <c r="Y27" s="9">
        <v>46098</v>
      </c>
      <c r="Z27" s="9">
        <v>46098</v>
      </c>
      <c r="AA27" s="8" t="s">
        <v>201</v>
      </c>
      <c r="AB27" s="8" t="s">
        <v>60</v>
      </c>
      <c r="AC27" s="9">
        <v>46098</v>
      </c>
      <c r="AD27" s="8" t="s">
        <v>64</v>
      </c>
      <c r="AE27" s="8" t="s">
        <v>60</v>
      </c>
      <c r="AF27" s="8"/>
      <c r="AG27" s="8"/>
      <c r="AH27" s="8" t="s">
        <v>65</v>
      </c>
      <c r="AI27" s="8" t="s">
        <v>66</v>
      </c>
      <c r="AJ27" s="9">
        <v>46104</v>
      </c>
      <c r="AK27" s="9"/>
      <c r="AL27" s="8" t="s">
        <v>202</v>
      </c>
      <c r="AM27" s="8">
        <v>9600918969</v>
      </c>
      <c r="AN27" s="8"/>
      <c r="AO27" s="8"/>
      <c r="AP27" s="8"/>
      <c r="AQ27" s="8"/>
      <c r="AR27" s="8">
        <v>396000</v>
      </c>
      <c r="AS27" s="8"/>
      <c r="AT27" s="9">
        <v>46100</v>
      </c>
      <c r="AU27" t="str">
        <f t="shared" si="0"/>
        <v>March</v>
      </c>
      <c r="AV27" s="8"/>
      <c r="AW27" s="8" t="s">
        <v>68</v>
      </c>
    </row>
    <row r="28" spans="1:49" s="4" customFormat="1" x14ac:dyDescent="0.35">
      <c r="A28" s="5">
        <v>2259131</v>
      </c>
      <c r="B28" s="5" t="s">
        <v>203</v>
      </c>
      <c r="C28" s="5"/>
      <c r="D28" s="6">
        <v>46087</v>
      </c>
      <c r="E28" s="5" t="s">
        <v>50</v>
      </c>
      <c r="F28" s="5" t="s">
        <v>204</v>
      </c>
      <c r="G28" s="5" t="s">
        <v>52</v>
      </c>
      <c r="H28" s="5">
        <v>82.8</v>
      </c>
      <c r="I28" s="5">
        <v>61.1</v>
      </c>
      <c r="J28" s="5" t="s">
        <v>108</v>
      </c>
      <c r="K28" s="5" t="s">
        <v>54</v>
      </c>
      <c r="L28" s="5" t="s">
        <v>55</v>
      </c>
      <c r="M28" s="5" t="s">
        <v>175</v>
      </c>
      <c r="N28" s="5" t="s">
        <v>176</v>
      </c>
      <c r="O28" s="5" t="s">
        <v>58</v>
      </c>
      <c r="P28" s="5" t="s">
        <v>177</v>
      </c>
      <c r="Q28" s="6">
        <v>46087</v>
      </c>
      <c r="R28" s="5" t="s">
        <v>60</v>
      </c>
      <c r="S28" s="6">
        <v>46084</v>
      </c>
      <c r="T28" s="5" t="s">
        <v>141</v>
      </c>
      <c r="U28" s="5" t="s">
        <v>142</v>
      </c>
      <c r="V28" s="5" t="s">
        <v>62</v>
      </c>
      <c r="W28" s="5"/>
      <c r="X28" s="6">
        <v>46084</v>
      </c>
      <c r="Y28" s="6">
        <v>46084</v>
      </c>
      <c r="Z28" s="6">
        <v>46084</v>
      </c>
      <c r="AA28" s="5" t="s">
        <v>205</v>
      </c>
      <c r="AB28" s="5" t="s">
        <v>60</v>
      </c>
      <c r="AC28" s="6">
        <v>46084</v>
      </c>
      <c r="AD28" s="5" t="s">
        <v>68</v>
      </c>
      <c r="AE28" s="5" t="s">
        <v>60</v>
      </c>
      <c r="AF28" s="5"/>
      <c r="AG28" s="5"/>
      <c r="AH28" s="5" t="s">
        <v>65</v>
      </c>
      <c r="AI28" s="5" t="s">
        <v>66</v>
      </c>
      <c r="AJ28" s="6">
        <v>46111</v>
      </c>
      <c r="AK28" s="6"/>
      <c r="AL28" s="5" t="s">
        <v>206</v>
      </c>
      <c r="AM28" s="5">
        <v>7871667808</v>
      </c>
      <c r="AN28" s="5"/>
      <c r="AO28" s="5"/>
      <c r="AP28" s="5"/>
      <c r="AQ28" s="5"/>
      <c r="AR28" s="5">
        <v>360000</v>
      </c>
      <c r="AS28" s="5"/>
      <c r="AT28" s="6">
        <v>46107</v>
      </c>
      <c r="AU28" t="str">
        <f t="shared" si="0"/>
        <v>March</v>
      </c>
      <c r="AV28" s="5"/>
      <c r="AW28" s="5" t="s">
        <v>68</v>
      </c>
    </row>
    <row r="29" spans="1:49" s="7" customFormat="1" x14ac:dyDescent="0.35">
      <c r="A29" s="8">
        <v>2239369</v>
      </c>
      <c r="B29" s="8" t="s">
        <v>207</v>
      </c>
      <c r="C29" s="8" t="s">
        <v>70</v>
      </c>
      <c r="D29" s="9">
        <v>46067</v>
      </c>
      <c r="E29" s="8" t="s">
        <v>50</v>
      </c>
      <c r="F29" s="8" t="s">
        <v>208</v>
      </c>
      <c r="G29" s="8" t="s">
        <v>52</v>
      </c>
      <c r="H29" s="8">
        <v>88.2</v>
      </c>
      <c r="I29" s="8">
        <v>67</v>
      </c>
      <c r="J29" s="8" t="s">
        <v>209</v>
      </c>
      <c r="K29" s="8" t="s">
        <v>73</v>
      </c>
      <c r="L29" s="8" t="s">
        <v>55</v>
      </c>
      <c r="M29" s="8" t="s">
        <v>74</v>
      </c>
      <c r="N29" s="8" t="s">
        <v>210</v>
      </c>
      <c r="O29" s="8" t="s">
        <v>58</v>
      </c>
      <c r="P29" s="8" t="s">
        <v>59</v>
      </c>
      <c r="Q29" s="9">
        <v>46067</v>
      </c>
      <c r="R29" s="8" t="s">
        <v>60</v>
      </c>
      <c r="S29" s="9">
        <v>46083</v>
      </c>
      <c r="T29" s="8" t="s">
        <v>70</v>
      </c>
      <c r="U29" s="8" t="s">
        <v>76</v>
      </c>
      <c r="V29" s="8" t="s">
        <v>62</v>
      </c>
      <c r="W29" s="8"/>
      <c r="X29" s="9">
        <v>46084</v>
      </c>
      <c r="Y29" s="9">
        <v>46083</v>
      </c>
      <c r="Z29" s="9">
        <v>46083</v>
      </c>
      <c r="AA29" s="8" t="s">
        <v>84</v>
      </c>
      <c r="AB29" s="8" t="s">
        <v>60</v>
      </c>
      <c r="AC29" s="9">
        <v>46084</v>
      </c>
      <c r="AD29" s="8" t="s">
        <v>102</v>
      </c>
      <c r="AE29" s="8" t="s">
        <v>60</v>
      </c>
      <c r="AF29" s="8"/>
      <c r="AG29" s="8"/>
      <c r="AH29" s="8" t="s">
        <v>65</v>
      </c>
      <c r="AI29" s="8" t="s">
        <v>78</v>
      </c>
      <c r="AJ29" s="9">
        <v>46104</v>
      </c>
      <c r="AK29" s="9"/>
      <c r="AL29" s="8" t="s">
        <v>211</v>
      </c>
      <c r="AM29" s="8">
        <v>8825557673</v>
      </c>
      <c r="AN29" s="8"/>
      <c r="AO29" s="8"/>
      <c r="AP29" s="8"/>
      <c r="AQ29" s="8"/>
      <c r="AR29" s="8">
        <v>593748</v>
      </c>
      <c r="AS29" s="8"/>
      <c r="AT29" s="9">
        <v>46092</v>
      </c>
      <c r="AU29" t="str">
        <f t="shared" si="0"/>
        <v>March</v>
      </c>
      <c r="AV29" s="8"/>
      <c r="AW29" s="8" t="s">
        <v>68</v>
      </c>
    </row>
    <row r="30" spans="1:49" s="4" customFormat="1" x14ac:dyDescent="0.35">
      <c r="A30" s="5">
        <v>2239356</v>
      </c>
      <c r="B30" s="5" t="s">
        <v>212</v>
      </c>
      <c r="C30" s="5" t="s">
        <v>105</v>
      </c>
      <c r="D30" s="6">
        <v>46067</v>
      </c>
      <c r="E30" s="5" t="s">
        <v>50</v>
      </c>
      <c r="F30" s="5" t="s">
        <v>213</v>
      </c>
      <c r="G30" s="5" t="s">
        <v>52</v>
      </c>
      <c r="H30" s="5">
        <v>92</v>
      </c>
      <c r="I30" s="5">
        <v>87.8</v>
      </c>
      <c r="J30" s="5" t="s">
        <v>209</v>
      </c>
      <c r="K30" s="5" t="s">
        <v>73</v>
      </c>
      <c r="L30" s="5" t="s">
        <v>55</v>
      </c>
      <c r="M30" s="5" t="s">
        <v>115</v>
      </c>
      <c r="N30" s="5" t="s">
        <v>11</v>
      </c>
      <c r="O30" s="5" t="s">
        <v>58</v>
      </c>
      <c r="P30" s="5" t="s">
        <v>59</v>
      </c>
      <c r="Q30" s="6">
        <v>46067</v>
      </c>
      <c r="R30" s="5" t="s">
        <v>60</v>
      </c>
      <c r="S30" s="6">
        <v>46071</v>
      </c>
      <c r="T30" s="5" t="s">
        <v>105</v>
      </c>
      <c r="U30" s="5" t="s">
        <v>195</v>
      </c>
      <c r="V30" s="5" t="s">
        <v>62</v>
      </c>
      <c r="W30" s="5"/>
      <c r="X30" s="6">
        <v>46071</v>
      </c>
      <c r="Y30" s="6">
        <v>46071</v>
      </c>
      <c r="Z30" s="6">
        <v>46071</v>
      </c>
      <c r="AA30" s="5" t="s">
        <v>186</v>
      </c>
      <c r="AB30" s="5" t="s">
        <v>60</v>
      </c>
      <c r="AC30" s="6">
        <v>46071</v>
      </c>
      <c r="AD30" s="5" t="s">
        <v>102</v>
      </c>
      <c r="AE30" s="5" t="s">
        <v>60</v>
      </c>
      <c r="AF30" s="5"/>
      <c r="AG30" s="5"/>
      <c r="AH30" s="5" t="s">
        <v>65</v>
      </c>
      <c r="AI30" s="5" t="s">
        <v>78</v>
      </c>
      <c r="AJ30" s="6">
        <v>46111</v>
      </c>
      <c r="AK30" s="6"/>
      <c r="AL30" s="5" t="s">
        <v>214</v>
      </c>
      <c r="AM30" s="5">
        <v>8610346140</v>
      </c>
      <c r="AN30" s="5"/>
      <c r="AO30" s="5"/>
      <c r="AP30" s="5"/>
      <c r="AQ30" s="5"/>
      <c r="AR30" s="5">
        <v>590640</v>
      </c>
      <c r="AS30" s="5"/>
      <c r="AT30" s="6">
        <v>46078</v>
      </c>
      <c r="AU30" t="str">
        <f t="shared" si="0"/>
        <v>February</v>
      </c>
      <c r="AV30" s="5"/>
      <c r="AW30" s="5" t="s">
        <v>68</v>
      </c>
    </row>
    <row r="31" spans="1:49" s="7" customFormat="1" x14ac:dyDescent="0.35">
      <c r="A31" s="8">
        <v>2224812</v>
      </c>
      <c r="B31" s="8" t="s">
        <v>215</v>
      </c>
      <c r="C31" s="8" t="s">
        <v>105</v>
      </c>
      <c r="D31" s="9">
        <v>46052</v>
      </c>
      <c r="E31" s="8" t="s">
        <v>50</v>
      </c>
      <c r="F31" s="8" t="s">
        <v>216</v>
      </c>
      <c r="G31" s="8" t="s">
        <v>52</v>
      </c>
      <c r="H31" s="8">
        <v>79.599999999999994</v>
      </c>
      <c r="I31" s="8">
        <v>73.75</v>
      </c>
      <c r="J31" s="8" t="s">
        <v>72</v>
      </c>
      <c r="K31" s="8" t="s">
        <v>73</v>
      </c>
      <c r="L31" s="8" t="s">
        <v>55</v>
      </c>
      <c r="M31" s="8" t="s">
        <v>115</v>
      </c>
      <c r="N31" s="8" t="s">
        <v>11</v>
      </c>
      <c r="O31" s="8" t="s">
        <v>58</v>
      </c>
      <c r="P31" s="8" t="s">
        <v>59</v>
      </c>
      <c r="Q31" s="9">
        <v>46052</v>
      </c>
      <c r="R31" s="8" t="s">
        <v>60</v>
      </c>
      <c r="S31" s="9">
        <v>46055</v>
      </c>
      <c r="T31" s="8" t="s">
        <v>105</v>
      </c>
      <c r="U31" s="8" t="s">
        <v>185</v>
      </c>
      <c r="V31" s="8" t="s">
        <v>62</v>
      </c>
      <c r="W31" s="8"/>
      <c r="X31" s="9">
        <v>46077</v>
      </c>
      <c r="Y31" s="9">
        <v>46055</v>
      </c>
      <c r="Z31" s="9">
        <v>46077</v>
      </c>
      <c r="AA31" s="8" t="s">
        <v>68</v>
      </c>
      <c r="AB31" s="8" t="s">
        <v>60</v>
      </c>
      <c r="AC31" s="9">
        <v>46083</v>
      </c>
      <c r="AD31" s="8" t="s">
        <v>186</v>
      </c>
      <c r="AE31" s="8" t="s">
        <v>60</v>
      </c>
      <c r="AF31" s="8"/>
      <c r="AG31" s="8"/>
      <c r="AH31" s="8" t="s">
        <v>65</v>
      </c>
      <c r="AI31" s="8" t="s">
        <v>78</v>
      </c>
      <c r="AJ31" s="9">
        <v>46111</v>
      </c>
      <c r="AK31" s="9"/>
      <c r="AL31" s="8" t="s">
        <v>217</v>
      </c>
      <c r="AM31" s="8">
        <v>8778748302</v>
      </c>
      <c r="AN31" s="8"/>
      <c r="AO31" s="8"/>
      <c r="AP31" s="8"/>
      <c r="AQ31" s="8"/>
      <c r="AR31" s="8">
        <v>400008</v>
      </c>
      <c r="AS31" s="8"/>
      <c r="AT31" s="9">
        <v>46092</v>
      </c>
      <c r="AU31" t="str">
        <f t="shared" si="0"/>
        <v>March</v>
      </c>
      <c r="AV31" s="8"/>
      <c r="AW31" s="8" t="s">
        <v>68</v>
      </c>
    </row>
    <row r="32" spans="1:49" s="4" customFormat="1" x14ac:dyDescent="0.35">
      <c r="A32" s="5">
        <v>2224717</v>
      </c>
      <c r="B32" s="5" t="s">
        <v>218</v>
      </c>
      <c r="C32" s="5" t="s">
        <v>99</v>
      </c>
      <c r="D32" s="6">
        <v>46052</v>
      </c>
      <c r="E32" s="5" t="s">
        <v>50</v>
      </c>
      <c r="F32" s="5" t="s">
        <v>219</v>
      </c>
      <c r="G32" s="5" t="s">
        <v>52</v>
      </c>
      <c r="H32" s="5">
        <v>95.6</v>
      </c>
      <c r="I32" s="5">
        <v>75.900000000000006</v>
      </c>
      <c r="J32" s="5" t="s">
        <v>72</v>
      </c>
      <c r="K32" s="5" t="s">
        <v>73</v>
      </c>
      <c r="L32" s="5" t="s">
        <v>55</v>
      </c>
      <c r="M32" s="5" t="s">
        <v>74</v>
      </c>
      <c r="N32" s="5" t="s">
        <v>220</v>
      </c>
      <c r="O32" s="5" t="s">
        <v>58</v>
      </c>
      <c r="P32" s="5" t="s">
        <v>59</v>
      </c>
      <c r="Q32" s="6">
        <v>46052</v>
      </c>
      <c r="R32" s="5" t="s">
        <v>60</v>
      </c>
      <c r="S32" s="6">
        <v>46058</v>
      </c>
      <c r="T32" s="5" t="s">
        <v>99</v>
      </c>
      <c r="U32" s="5" t="s">
        <v>221</v>
      </c>
      <c r="V32" s="5" t="s">
        <v>62</v>
      </c>
      <c r="W32" s="5"/>
      <c r="X32" s="6">
        <v>46058</v>
      </c>
      <c r="Y32" s="6">
        <v>46058</v>
      </c>
      <c r="Z32" s="6">
        <v>46058</v>
      </c>
      <c r="AA32" s="5" t="s">
        <v>68</v>
      </c>
      <c r="AB32" s="5" t="s">
        <v>60</v>
      </c>
      <c r="AC32" s="6">
        <v>46058</v>
      </c>
      <c r="AD32" s="5" t="s">
        <v>84</v>
      </c>
      <c r="AE32" s="5" t="s">
        <v>60</v>
      </c>
      <c r="AF32" s="5"/>
      <c r="AG32" s="5"/>
      <c r="AH32" s="5" t="s">
        <v>65</v>
      </c>
      <c r="AI32" s="5" t="s">
        <v>78</v>
      </c>
      <c r="AJ32" s="6">
        <v>46111</v>
      </c>
      <c r="AK32" s="6"/>
      <c r="AL32" s="5" t="s">
        <v>222</v>
      </c>
      <c r="AM32" s="5">
        <v>6379893484</v>
      </c>
      <c r="AN32" s="5"/>
      <c r="AO32" s="5"/>
      <c r="AP32" s="5"/>
      <c r="AQ32" s="5"/>
      <c r="AR32" s="5">
        <v>400008</v>
      </c>
      <c r="AS32" s="5"/>
      <c r="AT32" s="6">
        <v>46060</v>
      </c>
      <c r="AU32" t="str">
        <f t="shared" si="0"/>
        <v>February</v>
      </c>
      <c r="AV32" s="5"/>
      <c r="AW32" s="5" t="s">
        <v>68</v>
      </c>
    </row>
    <row r="33" spans="1:49" s="7" customFormat="1" x14ac:dyDescent="0.35">
      <c r="A33" s="8">
        <v>2221823</v>
      </c>
      <c r="B33" s="8" t="s">
        <v>223</v>
      </c>
      <c r="C33" s="8" t="s">
        <v>105</v>
      </c>
      <c r="D33" s="9">
        <v>46049</v>
      </c>
      <c r="E33" s="8" t="s">
        <v>50</v>
      </c>
      <c r="F33" s="8" t="s">
        <v>224</v>
      </c>
      <c r="G33" s="8" t="s">
        <v>52</v>
      </c>
      <c r="H33" s="8">
        <v>82.6</v>
      </c>
      <c r="I33" s="8">
        <v>62</v>
      </c>
      <c r="J33" s="8" t="s">
        <v>108</v>
      </c>
      <c r="K33" s="8" t="s">
        <v>54</v>
      </c>
      <c r="L33" s="8" t="s">
        <v>55</v>
      </c>
      <c r="M33" s="8" t="s">
        <v>74</v>
      </c>
      <c r="N33" s="8" t="s">
        <v>225</v>
      </c>
      <c r="O33" s="8" t="s">
        <v>58</v>
      </c>
      <c r="P33" s="8" t="s">
        <v>59</v>
      </c>
      <c r="Q33" s="9">
        <v>46049</v>
      </c>
      <c r="R33" s="8" t="s">
        <v>60</v>
      </c>
      <c r="S33" s="9">
        <v>46055</v>
      </c>
      <c r="T33" s="8" t="s">
        <v>105</v>
      </c>
      <c r="U33" s="8" t="s">
        <v>110</v>
      </c>
      <c r="V33" s="8" t="s">
        <v>62</v>
      </c>
      <c r="W33" s="8"/>
      <c r="X33" s="9">
        <v>46055</v>
      </c>
      <c r="Y33" s="9">
        <v>46055</v>
      </c>
      <c r="Z33" s="9">
        <v>46055</v>
      </c>
      <c r="AA33" s="8" t="s">
        <v>111</v>
      </c>
      <c r="AB33" s="8" t="s">
        <v>60</v>
      </c>
      <c r="AC33" s="9">
        <v>46055</v>
      </c>
      <c r="AD33" s="8" t="s">
        <v>64</v>
      </c>
      <c r="AE33" s="8" t="s">
        <v>60</v>
      </c>
      <c r="AF33" s="8"/>
      <c r="AG33" s="8"/>
      <c r="AH33" s="8" t="s">
        <v>65</v>
      </c>
      <c r="AI33" s="8" t="s">
        <v>66</v>
      </c>
      <c r="AJ33" s="9">
        <v>46062</v>
      </c>
      <c r="AK33" s="9"/>
      <c r="AL33" s="8" t="s">
        <v>226</v>
      </c>
      <c r="AM33" s="8">
        <v>9080593840</v>
      </c>
      <c r="AN33" s="8"/>
      <c r="AO33" s="8"/>
      <c r="AP33" s="8"/>
      <c r="AQ33" s="8"/>
      <c r="AR33" s="8">
        <v>360000</v>
      </c>
      <c r="AS33" s="8"/>
      <c r="AT33" s="9">
        <v>46058</v>
      </c>
      <c r="AU33" t="str">
        <f t="shared" si="0"/>
        <v>February</v>
      </c>
      <c r="AV33" s="8"/>
      <c r="AW33" s="8" t="s">
        <v>68</v>
      </c>
    </row>
    <row r="34" spans="1:49" s="4" customFormat="1" x14ac:dyDescent="0.35">
      <c r="A34" s="5">
        <v>2217118</v>
      </c>
      <c r="B34" s="5" t="s">
        <v>227</v>
      </c>
      <c r="C34" s="5" t="s">
        <v>49</v>
      </c>
      <c r="D34" s="6">
        <v>46043</v>
      </c>
      <c r="E34" s="5" t="s">
        <v>50</v>
      </c>
      <c r="F34" s="5" t="s">
        <v>228</v>
      </c>
      <c r="G34" s="5" t="s">
        <v>107</v>
      </c>
      <c r="H34" s="5">
        <v>86</v>
      </c>
      <c r="I34" s="5">
        <v>68</v>
      </c>
      <c r="J34" s="5" t="s">
        <v>108</v>
      </c>
      <c r="K34" s="5" t="s">
        <v>54</v>
      </c>
      <c r="L34" s="5" t="s">
        <v>55</v>
      </c>
      <c r="M34" s="5" t="s">
        <v>115</v>
      </c>
      <c r="N34" s="5" t="s">
        <v>11</v>
      </c>
      <c r="O34" s="5" t="s">
        <v>58</v>
      </c>
      <c r="P34" s="5" t="s">
        <v>59</v>
      </c>
      <c r="Q34" s="6">
        <v>46043</v>
      </c>
      <c r="R34" s="5" t="s">
        <v>60</v>
      </c>
      <c r="S34" s="6">
        <v>46045</v>
      </c>
      <c r="T34" s="5" t="s">
        <v>49</v>
      </c>
      <c r="U34" s="5" t="s">
        <v>125</v>
      </c>
      <c r="V34" s="5" t="s">
        <v>62</v>
      </c>
      <c r="W34" s="5"/>
      <c r="X34" s="6">
        <v>46045</v>
      </c>
      <c r="Y34" s="6">
        <v>46045</v>
      </c>
      <c r="Z34" s="6">
        <v>46045</v>
      </c>
      <c r="AA34" s="5" t="s">
        <v>126</v>
      </c>
      <c r="AB34" s="5" t="s">
        <v>60</v>
      </c>
      <c r="AC34" s="6">
        <v>46045</v>
      </c>
      <c r="AD34" s="5" t="s">
        <v>64</v>
      </c>
      <c r="AE34" s="5" t="s">
        <v>60</v>
      </c>
      <c r="AF34" s="5"/>
      <c r="AG34" s="5"/>
      <c r="AH34" s="5" t="s">
        <v>65</v>
      </c>
      <c r="AI34" s="5" t="s">
        <v>66</v>
      </c>
      <c r="AJ34" s="6">
        <v>46049</v>
      </c>
      <c r="AK34" s="6"/>
      <c r="AL34" s="5" t="s">
        <v>229</v>
      </c>
      <c r="AM34" s="5">
        <v>8072688890</v>
      </c>
      <c r="AN34" s="5"/>
      <c r="AO34" s="5"/>
      <c r="AP34" s="5"/>
      <c r="AQ34" s="5"/>
      <c r="AR34" s="5">
        <v>360000</v>
      </c>
      <c r="AS34" s="5"/>
      <c r="AT34" s="6">
        <v>46046</v>
      </c>
      <c r="AU34" t="str">
        <f t="shared" si="0"/>
        <v>January</v>
      </c>
      <c r="AV34" s="5"/>
      <c r="AW34" s="5" t="s">
        <v>68</v>
      </c>
    </row>
    <row r="35" spans="1:49" s="7" customFormat="1" x14ac:dyDescent="0.35">
      <c r="A35" s="8">
        <v>2205171</v>
      </c>
      <c r="B35" s="8" t="s">
        <v>230</v>
      </c>
      <c r="C35" s="8" t="s">
        <v>49</v>
      </c>
      <c r="D35" s="9">
        <v>46029</v>
      </c>
      <c r="E35" s="8" t="s">
        <v>50</v>
      </c>
      <c r="F35" s="8" t="s">
        <v>231</v>
      </c>
      <c r="G35" s="8" t="s">
        <v>52</v>
      </c>
      <c r="H35" s="8">
        <v>96</v>
      </c>
      <c r="I35" s="8">
        <v>86.2</v>
      </c>
      <c r="J35" s="8" t="s">
        <v>72</v>
      </c>
      <c r="K35" s="8" t="s">
        <v>73</v>
      </c>
      <c r="L35" s="8" t="s">
        <v>55</v>
      </c>
      <c r="M35" s="8" t="s">
        <v>74</v>
      </c>
      <c r="N35" s="8" t="s">
        <v>232</v>
      </c>
      <c r="O35" s="8" t="s">
        <v>58</v>
      </c>
      <c r="P35" s="8" t="s">
        <v>59</v>
      </c>
      <c r="Q35" s="9">
        <v>46029</v>
      </c>
      <c r="R35" s="8" t="s">
        <v>60</v>
      </c>
      <c r="S35" s="9">
        <v>46032</v>
      </c>
      <c r="T35" s="8" t="s">
        <v>49</v>
      </c>
      <c r="U35" s="8" t="s">
        <v>83</v>
      </c>
      <c r="V35" s="8" t="s">
        <v>62</v>
      </c>
      <c r="W35" s="8"/>
      <c r="X35" s="9">
        <v>46032</v>
      </c>
      <c r="Y35" s="9">
        <v>46032</v>
      </c>
      <c r="Z35" s="9">
        <v>46032</v>
      </c>
      <c r="AA35" s="8" t="s">
        <v>68</v>
      </c>
      <c r="AB35" s="8" t="s">
        <v>60</v>
      </c>
      <c r="AC35" s="9">
        <v>46032</v>
      </c>
      <c r="AD35" s="8" t="s">
        <v>84</v>
      </c>
      <c r="AE35" s="8" t="s">
        <v>60</v>
      </c>
      <c r="AF35" s="8"/>
      <c r="AG35" s="8"/>
      <c r="AH35" s="8" t="s">
        <v>65</v>
      </c>
      <c r="AI35" s="8" t="s">
        <v>78</v>
      </c>
      <c r="AJ35" s="9">
        <v>46076</v>
      </c>
      <c r="AK35" s="9"/>
      <c r="AL35" s="8" t="s">
        <v>233</v>
      </c>
      <c r="AM35" s="8">
        <v>8220795961</v>
      </c>
      <c r="AN35" s="8"/>
      <c r="AO35" s="8"/>
      <c r="AP35" s="8"/>
      <c r="AQ35" s="8"/>
      <c r="AR35" s="8">
        <v>430632</v>
      </c>
      <c r="AS35" s="8"/>
      <c r="AT35" s="9">
        <v>46037</v>
      </c>
      <c r="AU35" t="str">
        <f t="shared" si="0"/>
        <v>January</v>
      </c>
      <c r="AV35" s="8"/>
      <c r="AW35" s="8" t="s">
        <v>68</v>
      </c>
    </row>
    <row r="36" spans="1:49" s="4" customFormat="1" x14ac:dyDescent="0.35">
      <c r="A36" s="5">
        <v>2194118</v>
      </c>
      <c r="B36" s="5" t="s">
        <v>234</v>
      </c>
      <c r="C36" s="5" t="s">
        <v>49</v>
      </c>
      <c r="D36" s="6">
        <v>46017</v>
      </c>
      <c r="E36" s="5" t="s">
        <v>50</v>
      </c>
      <c r="F36" s="5" t="s">
        <v>235</v>
      </c>
      <c r="G36" s="5" t="s">
        <v>107</v>
      </c>
      <c r="H36" s="5">
        <v>82.8</v>
      </c>
      <c r="I36" s="5">
        <v>57.5</v>
      </c>
      <c r="J36" s="5" t="s">
        <v>108</v>
      </c>
      <c r="K36" s="5" t="s">
        <v>54</v>
      </c>
      <c r="L36" s="5" t="s">
        <v>55</v>
      </c>
      <c r="M36" s="5" t="s">
        <v>115</v>
      </c>
      <c r="N36" s="5" t="s">
        <v>11</v>
      </c>
      <c r="O36" s="5" t="s">
        <v>58</v>
      </c>
      <c r="P36" s="5" t="s">
        <v>236</v>
      </c>
      <c r="Q36" s="6">
        <v>46017</v>
      </c>
      <c r="R36" s="5" t="s">
        <v>60</v>
      </c>
      <c r="S36" s="6">
        <v>46020</v>
      </c>
      <c r="T36" s="5" t="s">
        <v>49</v>
      </c>
      <c r="U36" s="5" t="s">
        <v>200</v>
      </c>
      <c r="V36" s="5" t="s">
        <v>62</v>
      </c>
      <c r="W36" s="5"/>
      <c r="X36" s="6">
        <v>46020</v>
      </c>
      <c r="Y36" s="6">
        <v>46020</v>
      </c>
      <c r="Z36" s="6">
        <v>46020</v>
      </c>
      <c r="AA36" s="5" t="s">
        <v>68</v>
      </c>
      <c r="AB36" s="5" t="s">
        <v>60</v>
      </c>
      <c r="AC36" s="6">
        <v>46020</v>
      </c>
      <c r="AD36" s="5" t="s">
        <v>64</v>
      </c>
      <c r="AE36" s="5" t="s">
        <v>60</v>
      </c>
      <c r="AF36" s="5" t="s">
        <v>237</v>
      </c>
      <c r="AG36" s="5" t="s">
        <v>238</v>
      </c>
      <c r="AH36" s="5" t="s">
        <v>65</v>
      </c>
      <c r="AI36" s="5" t="s">
        <v>66</v>
      </c>
      <c r="AJ36" s="6">
        <v>46027</v>
      </c>
      <c r="AK36" s="6"/>
      <c r="AL36" s="5" t="s">
        <v>239</v>
      </c>
      <c r="AM36" s="5">
        <v>6383308974</v>
      </c>
      <c r="AN36" s="5" t="s">
        <v>240</v>
      </c>
      <c r="AO36" s="5"/>
      <c r="AP36" s="5"/>
      <c r="AQ36" s="5"/>
      <c r="AR36" s="5">
        <v>360000</v>
      </c>
      <c r="AS36" s="5"/>
      <c r="AT36" s="6">
        <v>46022</v>
      </c>
      <c r="AU36" t="str">
        <f t="shared" si="0"/>
        <v>December</v>
      </c>
      <c r="AV36" s="5"/>
      <c r="AW36" s="5" t="s">
        <v>68</v>
      </c>
    </row>
    <row r="37" spans="1:49" s="7" customFormat="1" x14ac:dyDescent="0.35">
      <c r="A37" s="8">
        <v>2188305</v>
      </c>
      <c r="B37" s="8" t="s">
        <v>241</v>
      </c>
      <c r="C37" s="8" t="s">
        <v>105</v>
      </c>
      <c r="D37" s="9">
        <v>46011</v>
      </c>
      <c r="E37" s="8" t="s">
        <v>50</v>
      </c>
      <c r="F37" s="8" t="s">
        <v>242</v>
      </c>
      <c r="G37" s="8" t="s">
        <v>107</v>
      </c>
      <c r="H37" s="8">
        <v>81.8</v>
      </c>
      <c r="I37" s="8">
        <v>73.83</v>
      </c>
      <c r="J37" s="8" t="s">
        <v>108</v>
      </c>
      <c r="K37" s="8" t="s">
        <v>54</v>
      </c>
      <c r="L37" s="8" t="s">
        <v>55</v>
      </c>
      <c r="M37" s="8" t="s">
        <v>74</v>
      </c>
      <c r="N37" s="8" t="s">
        <v>243</v>
      </c>
      <c r="O37" s="8" t="s">
        <v>58</v>
      </c>
      <c r="P37" s="8" t="s">
        <v>59</v>
      </c>
      <c r="Q37" s="9">
        <v>46011</v>
      </c>
      <c r="R37" s="8" t="s">
        <v>60</v>
      </c>
      <c r="S37" s="9">
        <v>46013</v>
      </c>
      <c r="T37" s="8" t="s">
        <v>105</v>
      </c>
      <c r="U37" s="8" t="s">
        <v>110</v>
      </c>
      <c r="V37" s="8" t="s">
        <v>62</v>
      </c>
      <c r="W37" s="8"/>
      <c r="X37" s="9">
        <v>46013</v>
      </c>
      <c r="Y37" s="9">
        <v>46013</v>
      </c>
      <c r="Z37" s="9">
        <v>46013</v>
      </c>
      <c r="AA37" s="8" t="s">
        <v>111</v>
      </c>
      <c r="AB37" s="8" t="s">
        <v>60</v>
      </c>
      <c r="AC37" s="9">
        <v>46013</v>
      </c>
      <c r="AD37" s="8" t="s">
        <v>64</v>
      </c>
      <c r="AE37" s="8" t="s">
        <v>60</v>
      </c>
      <c r="AF37" s="8"/>
      <c r="AG37" s="8"/>
      <c r="AH37" s="8" t="s">
        <v>65</v>
      </c>
      <c r="AI37" s="8" t="s">
        <v>66</v>
      </c>
      <c r="AJ37" s="9">
        <v>46020</v>
      </c>
      <c r="AK37" s="9"/>
      <c r="AL37" s="8" t="s">
        <v>244</v>
      </c>
      <c r="AM37" s="8">
        <v>9384297722</v>
      </c>
      <c r="AN37" s="8"/>
      <c r="AO37" s="8"/>
      <c r="AP37" s="8"/>
      <c r="AQ37" s="8"/>
      <c r="AR37" s="8">
        <v>360000</v>
      </c>
      <c r="AS37" s="8"/>
      <c r="AT37" s="9">
        <v>46014</v>
      </c>
      <c r="AU37" t="str">
        <f t="shared" si="0"/>
        <v>December</v>
      </c>
      <c r="AV37" s="8"/>
      <c r="AW37" s="8" t="s">
        <v>68</v>
      </c>
    </row>
    <row r="38" spans="1:49" s="4" customFormat="1" x14ac:dyDescent="0.35">
      <c r="A38" s="5">
        <v>2183668</v>
      </c>
      <c r="B38" s="5" t="s">
        <v>245</v>
      </c>
      <c r="C38" s="5" t="s">
        <v>49</v>
      </c>
      <c r="D38" s="6">
        <v>46007</v>
      </c>
      <c r="E38" s="5" t="s">
        <v>50</v>
      </c>
      <c r="F38" s="5" t="s">
        <v>246</v>
      </c>
      <c r="G38" s="5" t="s">
        <v>52</v>
      </c>
      <c r="H38" s="5">
        <v>98</v>
      </c>
      <c r="I38" s="5">
        <v>95.5</v>
      </c>
      <c r="J38" s="5" t="s">
        <v>88</v>
      </c>
      <c r="K38" s="5" t="s">
        <v>247</v>
      </c>
      <c r="L38" s="5" t="s">
        <v>55</v>
      </c>
      <c r="M38" s="5" t="s">
        <v>74</v>
      </c>
      <c r="N38" s="5" t="s">
        <v>199</v>
      </c>
      <c r="O38" s="5" t="s">
        <v>58</v>
      </c>
      <c r="P38" s="5" t="s">
        <v>59</v>
      </c>
      <c r="Q38" s="6">
        <v>46007</v>
      </c>
      <c r="R38" s="5" t="s">
        <v>60</v>
      </c>
      <c r="S38" s="6">
        <v>46008</v>
      </c>
      <c r="T38" s="5" t="s">
        <v>49</v>
      </c>
      <c r="U38" s="5" t="s">
        <v>91</v>
      </c>
      <c r="V38" s="5" t="s">
        <v>62</v>
      </c>
      <c r="W38" s="5"/>
      <c r="X38" s="6">
        <v>46008</v>
      </c>
      <c r="Y38" s="6">
        <v>46008</v>
      </c>
      <c r="Z38" s="6">
        <v>46008</v>
      </c>
      <c r="AA38" s="5" t="s">
        <v>68</v>
      </c>
      <c r="AB38" s="5" t="s">
        <v>60</v>
      </c>
      <c r="AC38" s="6">
        <v>46008</v>
      </c>
      <c r="AD38" s="5" t="s">
        <v>84</v>
      </c>
      <c r="AE38" s="5" t="s">
        <v>60</v>
      </c>
      <c r="AF38" s="5"/>
      <c r="AG38" s="5"/>
      <c r="AH38" s="5" t="s">
        <v>65</v>
      </c>
      <c r="AI38" s="5" t="s">
        <v>92</v>
      </c>
      <c r="AJ38" s="6">
        <v>46111</v>
      </c>
      <c r="AK38" s="6"/>
      <c r="AL38" s="5" t="s">
        <v>248</v>
      </c>
      <c r="AM38" s="5">
        <v>9003761642</v>
      </c>
      <c r="AN38" s="5"/>
      <c r="AO38" s="5"/>
      <c r="AP38" s="5"/>
      <c r="AQ38" s="5"/>
      <c r="AR38" s="5">
        <v>47951</v>
      </c>
      <c r="AS38" s="5"/>
      <c r="AT38" s="6">
        <v>46108</v>
      </c>
      <c r="AU38" t="str">
        <f t="shared" si="0"/>
        <v>March</v>
      </c>
      <c r="AV38" s="5"/>
      <c r="AW38" s="5" t="s">
        <v>68</v>
      </c>
    </row>
    <row r="39" spans="1:49" s="7" customFormat="1" x14ac:dyDescent="0.35">
      <c r="A39" s="8">
        <v>2177710</v>
      </c>
      <c r="B39" s="8" t="s">
        <v>249</v>
      </c>
      <c r="C39" s="8" t="s">
        <v>133</v>
      </c>
      <c r="D39" s="9">
        <v>46001</v>
      </c>
      <c r="E39" s="8" t="s">
        <v>50</v>
      </c>
      <c r="F39" s="8" t="s">
        <v>250</v>
      </c>
      <c r="G39" s="8" t="s">
        <v>52</v>
      </c>
      <c r="H39" s="8">
        <v>72</v>
      </c>
      <c r="I39" s="8">
        <v>85</v>
      </c>
      <c r="J39" s="8" t="s">
        <v>72</v>
      </c>
      <c r="K39" s="8" t="s">
        <v>73</v>
      </c>
      <c r="L39" s="8" t="s">
        <v>55</v>
      </c>
      <c r="M39" s="8" t="s">
        <v>115</v>
      </c>
      <c r="N39" s="8" t="s">
        <v>11</v>
      </c>
      <c r="O39" s="8" t="s">
        <v>58</v>
      </c>
      <c r="P39" s="8" t="s">
        <v>59</v>
      </c>
      <c r="Q39" s="9">
        <v>46001</v>
      </c>
      <c r="R39" s="8" t="s">
        <v>60</v>
      </c>
      <c r="S39" s="9">
        <v>46008</v>
      </c>
      <c r="T39" s="8" t="s">
        <v>133</v>
      </c>
      <c r="U39" s="8" t="s">
        <v>195</v>
      </c>
      <c r="V39" s="8" t="s">
        <v>62</v>
      </c>
      <c r="W39" s="8"/>
      <c r="X39" s="9">
        <v>46010</v>
      </c>
      <c r="Y39" s="9">
        <v>46008</v>
      </c>
      <c r="Z39" s="9">
        <v>46008</v>
      </c>
      <c r="AA39" s="8" t="s">
        <v>251</v>
      </c>
      <c r="AB39" s="8" t="s">
        <v>60</v>
      </c>
      <c r="AC39" s="9">
        <v>46010</v>
      </c>
      <c r="AD39" s="8" t="s">
        <v>186</v>
      </c>
      <c r="AE39" s="8" t="s">
        <v>60</v>
      </c>
      <c r="AF39" s="8"/>
      <c r="AG39" s="8"/>
      <c r="AH39" s="8" t="s">
        <v>65</v>
      </c>
      <c r="AI39" s="8" t="s">
        <v>78</v>
      </c>
      <c r="AJ39" s="9">
        <v>46034</v>
      </c>
      <c r="AK39" s="9"/>
      <c r="AL39" s="8" t="s">
        <v>196</v>
      </c>
      <c r="AM39" s="8">
        <v>9526482376</v>
      </c>
      <c r="AN39" s="8"/>
      <c r="AO39" s="8"/>
      <c r="AP39" s="8"/>
      <c r="AQ39" s="8"/>
      <c r="AR39" s="8">
        <v>400008</v>
      </c>
      <c r="AS39" s="8"/>
      <c r="AT39" s="9">
        <v>46017</v>
      </c>
      <c r="AU39" t="str">
        <f t="shared" si="0"/>
        <v>December</v>
      </c>
      <c r="AV39" s="8"/>
      <c r="AW39" s="8" t="s">
        <v>68</v>
      </c>
    </row>
    <row r="40" spans="1:49" s="4" customFormat="1" x14ac:dyDescent="0.35">
      <c r="A40" s="5">
        <v>2176500</v>
      </c>
      <c r="B40" s="5" t="s">
        <v>252</v>
      </c>
      <c r="C40" s="5" t="s">
        <v>99</v>
      </c>
      <c r="D40" s="6">
        <v>46000</v>
      </c>
      <c r="E40" s="5" t="s">
        <v>50</v>
      </c>
      <c r="F40" s="5" t="s">
        <v>253</v>
      </c>
      <c r="G40" s="5" t="s">
        <v>52</v>
      </c>
      <c r="H40" s="5">
        <v>70.400000000000006</v>
      </c>
      <c r="I40" s="5">
        <v>87.66</v>
      </c>
      <c r="J40" s="5" t="s">
        <v>254</v>
      </c>
      <c r="K40" s="5" t="s">
        <v>247</v>
      </c>
      <c r="L40" s="5" t="s">
        <v>55</v>
      </c>
      <c r="M40" s="5" t="s">
        <v>115</v>
      </c>
      <c r="N40" s="5" t="s">
        <v>11</v>
      </c>
      <c r="O40" s="5" t="s">
        <v>58</v>
      </c>
      <c r="P40" s="5" t="s">
        <v>59</v>
      </c>
      <c r="Q40" s="6">
        <v>46000</v>
      </c>
      <c r="R40" s="5" t="s">
        <v>60</v>
      </c>
      <c r="S40" s="6">
        <v>46001</v>
      </c>
      <c r="T40" s="5" t="s">
        <v>99</v>
      </c>
      <c r="U40" s="5" t="s">
        <v>91</v>
      </c>
      <c r="V40" s="5" t="s">
        <v>62</v>
      </c>
      <c r="W40" s="5"/>
      <c r="X40" s="6">
        <v>46001</v>
      </c>
      <c r="Y40" s="6">
        <v>46001</v>
      </c>
      <c r="Z40" s="6">
        <v>46001</v>
      </c>
      <c r="AA40" s="5" t="s">
        <v>84</v>
      </c>
      <c r="AB40" s="5" t="s">
        <v>60</v>
      </c>
      <c r="AC40" s="6">
        <v>46001</v>
      </c>
      <c r="AD40" s="5" t="s">
        <v>102</v>
      </c>
      <c r="AE40" s="5" t="s">
        <v>60</v>
      </c>
      <c r="AF40" s="5"/>
      <c r="AG40" s="5"/>
      <c r="AH40" s="5" t="s">
        <v>65</v>
      </c>
      <c r="AI40" s="5" t="s">
        <v>92</v>
      </c>
      <c r="AJ40" s="6">
        <v>46006</v>
      </c>
      <c r="AK40" s="6"/>
      <c r="AL40" s="5" t="s">
        <v>255</v>
      </c>
      <c r="AM40" s="5">
        <v>9488875188</v>
      </c>
      <c r="AN40" s="5"/>
      <c r="AO40" s="5"/>
      <c r="AP40" s="5"/>
      <c r="AQ40" s="5"/>
      <c r="AR40" s="5">
        <v>731100</v>
      </c>
      <c r="AS40" s="5"/>
      <c r="AT40" s="6">
        <v>46003</v>
      </c>
      <c r="AU40" t="str">
        <f t="shared" si="0"/>
        <v>December</v>
      </c>
      <c r="AV40" s="5"/>
      <c r="AW40" s="5" t="s">
        <v>68</v>
      </c>
    </row>
    <row r="41" spans="1:49" s="7" customFormat="1" x14ac:dyDescent="0.35">
      <c r="A41" s="8">
        <v>2175411</v>
      </c>
      <c r="B41" s="8" t="s">
        <v>256</v>
      </c>
      <c r="C41" s="8" t="s">
        <v>49</v>
      </c>
      <c r="D41" s="9">
        <v>45999</v>
      </c>
      <c r="E41" s="8" t="s">
        <v>50</v>
      </c>
      <c r="F41" s="8" t="s">
        <v>257</v>
      </c>
      <c r="G41" s="8" t="s">
        <v>52</v>
      </c>
      <c r="H41" s="8">
        <v>86.4</v>
      </c>
      <c r="I41" s="8">
        <v>73.099999999999994</v>
      </c>
      <c r="J41" s="8" t="s">
        <v>88</v>
      </c>
      <c r="K41" s="8" t="s">
        <v>89</v>
      </c>
      <c r="L41" s="8" t="s">
        <v>55</v>
      </c>
      <c r="M41" s="8" t="s">
        <v>115</v>
      </c>
      <c r="N41" s="8" t="s">
        <v>11</v>
      </c>
      <c r="O41" s="8" t="s">
        <v>58</v>
      </c>
      <c r="P41" s="8" t="s">
        <v>258</v>
      </c>
      <c r="Q41" s="9">
        <v>45999</v>
      </c>
      <c r="R41" s="8" t="s">
        <v>60</v>
      </c>
      <c r="S41" s="9">
        <v>46000</v>
      </c>
      <c r="T41" s="8" t="s">
        <v>49</v>
      </c>
      <c r="U41" s="8" t="s">
        <v>91</v>
      </c>
      <c r="V41" s="8" t="s">
        <v>62</v>
      </c>
      <c r="W41" s="8"/>
      <c r="X41" s="9">
        <v>46001</v>
      </c>
      <c r="Y41" s="9">
        <v>46001</v>
      </c>
      <c r="Z41" s="9">
        <v>46001</v>
      </c>
      <c r="AA41" s="8" t="s">
        <v>68</v>
      </c>
      <c r="AB41" s="8" t="s">
        <v>60</v>
      </c>
      <c r="AC41" s="9">
        <v>46021</v>
      </c>
      <c r="AD41" s="8" t="s">
        <v>84</v>
      </c>
      <c r="AE41" s="8" t="s">
        <v>60</v>
      </c>
      <c r="AF41" s="8"/>
      <c r="AG41" s="8"/>
      <c r="AH41" s="8" t="s">
        <v>65</v>
      </c>
      <c r="AI41" s="8" t="s">
        <v>92</v>
      </c>
      <c r="AJ41" s="9">
        <v>46041</v>
      </c>
      <c r="AK41" s="9"/>
      <c r="AL41" s="8" t="s">
        <v>259</v>
      </c>
      <c r="AM41" s="8">
        <v>7904673835</v>
      </c>
      <c r="AN41" s="8"/>
      <c r="AO41" s="8"/>
      <c r="AP41" s="8"/>
      <c r="AQ41" s="8"/>
      <c r="AR41" s="8">
        <v>600000</v>
      </c>
      <c r="AS41" s="8"/>
      <c r="AT41" s="9">
        <v>46034</v>
      </c>
      <c r="AU41" t="str">
        <f t="shared" si="0"/>
        <v>January</v>
      </c>
      <c r="AV41" s="8"/>
      <c r="AW41" s="8" t="s">
        <v>68</v>
      </c>
    </row>
    <row r="42" spans="1:49" s="4" customFormat="1" x14ac:dyDescent="0.35">
      <c r="A42" s="5">
        <v>2168269</v>
      </c>
      <c r="B42" s="5" t="s">
        <v>260</v>
      </c>
      <c r="C42" s="5" t="s">
        <v>105</v>
      </c>
      <c r="D42" s="6">
        <v>45990</v>
      </c>
      <c r="E42" s="5" t="s">
        <v>50</v>
      </c>
      <c r="F42" s="5" t="s">
        <v>261</v>
      </c>
      <c r="G42" s="5" t="s">
        <v>107</v>
      </c>
      <c r="H42" s="5">
        <v>65.400000000000006</v>
      </c>
      <c r="I42" s="5">
        <v>59.5</v>
      </c>
      <c r="J42" s="5" t="s">
        <v>108</v>
      </c>
      <c r="K42" s="5" t="s">
        <v>54</v>
      </c>
      <c r="L42" s="5" t="s">
        <v>55</v>
      </c>
      <c r="M42" s="5" t="s">
        <v>115</v>
      </c>
      <c r="N42" s="5" t="s">
        <v>11</v>
      </c>
      <c r="O42" s="5" t="s">
        <v>58</v>
      </c>
      <c r="P42" s="5" t="s">
        <v>59</v>
      </c>
      <c r="Q42" s="6">
        <v>45990</v>
      </c>
      <c r="R42" s="5" t="s">
        <v>60</v>
      </c>
      <c r="S42" s="6">
        <v>45993</v>
      </c>
      <c r="T42" s="5" t="s">
        <v>105</v>
      </c>
      <c r="U42" s="5" t="s">
        <v>110</v>
      </c>
      <c r="V42" s="5" t="s">
        <v>62</v>
      </c>
      <c r="W42" s="5"/>
      <c r="X42" s="6">
        <v>45993</v>
      </c>
      <c r="Y42" s="6">
        <v>45993</v>
      </c>
      <c r="Z42" s="6">
        <v>45993</v>
      </c>
      <c r="AA42" s="5" t="s">
        <v>111</v>
      </c>
      <c r="AB42" s="5" t="s">
        <v>60</v>
      </c>
      <c r="AC42" s="6">
        <v>45993</v>
      </c>
      <c r="AD42" s="5" t="s">
        <v>64</v>
      </c>
      <c r="AE42" s="5" t="s">
        <v>60</v>
      </c>
      <c r="AF42" s="5"/>
      <c r="AG42" s="5"/>
      <c r="AH42" s="5" t="s">
        <v>171</v>
      </c>
      <c r="AI42" s="5" t="s">
        <v>66</v>
      </c>
      <c r="AJ42" s="6">
        <v>45999</v>
      </c>
      <c r="AK42" s="6"/>
      <c r="AL42" s="5" t="s">
        <v>262</v>
      </c>
      <c r="AM42" s="5">
        <v>6374845075</v>
      </c>
      <c r="AN42" s="5"/>
      <c r="AO42" s="5"/>
      <c r="AP42" s="5"/>
      <c r="AQ42" s="5"/>
      <c r="AR42" s="5">
        <v>30000</v>
      </c>
      <c r="AS42" s="5"/>
      <c r="AT42" s="6">
        <v>45995</v>
      </c>
      <c r="AU42" t="str">
        <f t="shared" si="0"/>
        <v>December</v>
      </c>
      <c r="AV42" s="5"/>
      <c r="AW42" s="5" t="s">
        <v>68</v>
      </c>
    </row>
    <row r="43" spans="1:49" s="7" customFormat="1" x14ac:dyDescent="0.35">
      <c r="A43" s="8">
        <v>2167737</v>
      </c>
      <c r="B43" s="8" t="s">
        <v>263</v>
      </c>
      <c r="C43" s="8" t="s">
        <v>49</v>
      </c>
      <c r="D43" s="9">
        <v>45989</v>
      </c>
      <c r="E43" s="8" t="s">
        <v>50</v>
      </c>
      <c r="F43" s="8" t="s">
        <v>264</v>
      </c>
      <c r="G43" s="8" t="s">
        <v>52</v>
      </c>
      <c r="H43" s="8">
        <v>85</v>
      </c>
      <c r="I43" s="8">
        <v>73</v>
      </c>
      <c r="J43" s="8" t="s">
        <v>88</v>
      </c>
      <c r="K43" s="8" t="s">
        <v>247</v>
      </c>
      <c r="L43" s="8" t="s">
        <v>55</v>
      </c>
      <c r="M43" s="8" t="s">
        <v>74</v>
      </c>
      <c r="N43" s="8" t="s">
        <v>265</v>
      </c>
      <c r="O43" s="8" t="s">
        <v>58</v>
      </c>
      <c r="P43" s="8" t="s">
        <v>59</v>
      </c>
      <c r="Q43" s="9">
        <v>45989</v>
      </c>
      <c r="R43" s="8" t="s">
        <v>60</v>
      </c>
      <c r="S43" s="9">
        <v>45990</v>
      </c>
      <c r="T43" s="8" t="s">
        <v>49</v>
      </c>
      <c r="U43" s="8" t="s">
        <v>91</v>
      </c>
      <c r="V43" s="8" t="s">
        <v>62</v>
      </c>
      <c r="W43" s="8"/>
      <c r="X43" s="9">
        <v>45990</v>
      </c>
      <c r="Y43" s="9">
        <v>45990</v>
      </c>
      <c r="Z43" s="9">
        <v>45990</v>
      </c>
      <c r="AA43" s="8" t="s">
        <v>68</v>
      </c>
      <c r="AB43" s="8" t="s">
        <v>60</v>
      </c>
      <c r="AC43" s="9">
        <v>45990</v>
      </c>
      <c r="AD43" s="8" t="s">
        <v>84</v>
      </c>
      <c r="AE43" s="8" t="s">
        <v>60</v>
      </c>
      <c r="AF43" s="8"/>
      <c r="AG43" s="8"/>
      <c r="AH43" s="8" t="s">
        <v>65</v>
      </c>
      <c r="AI43" s="8" t="s">
        <v>92</v>
      </c>
      <c r="AJ43" s="9">
        <v>45999</v>
      </c>
      <c r="AK43" s="9"/>
      <c r="AL43" s="8" t="s">
        <v>266</v>
      </c>
      <c r="AM43" s="8">
        <v>7639126775</v>
      </c>
      <c r="AN43" s="8"/>
      <c r="AO43" s="8"/>
      <c r="AP43" s="8"/>
      <c r="AQ43" s="8"/>
      <c r="AR43" s="8">
        <v>500004</v>
      </c>
      <c r="AS43" s="8"/>
      <c r="AT43" s="9">
        <v>45995</v>
      </c>
      <c r="AU43" t="str">
        <f t="shared" si="0"/>
        <v>December</v>
      </c>
      <c r="AV43" s="8"/>
      <c r="AW43" s="8" t="s">
        <v>68</v>
      </c>
    </row>
    <row r="44" spans="1:49" s="4" customFormat="1" x14ac:dyDescent="0.35">
      <c r="A44" s="5">
        <v>2164173</v>
      </c>
      <c r="B44" s="5" t="s">
        <v>267</v>
      </c>
      <c r="C44" s="5" t="s">
        <v>49</v>
      </c>
      <c r="D44" s="6">
        <v>45986</v>
      </c>
      <c r="E44" s="5" t="s">
        <v>50</v>
      </c>
      <c r="F44" s="5" t="s">
        <v>268</v>
      </c>
      <c r="G44" s="5" t="s">
        <v>52</v>
      </c>
      <c r="H44" s="5">
        <v>83</v>
      </c>
      <c r="I44" s="5">
        <v>74.58</v>
      </c>
      <c r="J44" s="5" t="s">
        <v>88</v>
      </c>
      <c r="K44" s="5" t="s">
        <v>247</v>
      </c>
      <c r="L44" s="5" t="s">
        <v>55</v>
      </c>
      <c r="M44" s="5" t="s">
        <v>74</v>
      </c>
      <c r="N44" s="5" t="s">
        <v>124</v>
      </c>
      <c r="O44" s="5" t="s">
        <v>58</v>
      </c>
      <c r="P44" s="5" t="s">
        <v>59</v>
      </c>
      <c r="Q44" s="6">
        <v>45986</v>
      </c>
      <c r="R44" s="5" t="s">
        <v>60</v>
      </c>
      <c r="S44" s="6">
        <v>45987</v>
      </c>
      <c r="T44" s="5" t="s">
        <v>49</v>
      </c>
      <c r="U44" s="5" t="s">
        <v>91</v>
      </c>
      <c r="V44" s="5" t="s">
        <v>62</v>
      </c>
      <c r="W44" s="5"/>
      <c r="X44" s="6">
        <v>45987</v>
      </c>
      <c r="Y44" s="6">
        <v>45987</v>
      </c>
      <c r="Z44" s="6">
        <v>45987</v>
      </c>
      <c r="AA44" s="5" t="s">
        <v>68</v>
      </c>
      <c r="AB44" s="5" t="s">
        <v>60</v>
      </c>
      <c r="AC44" s="6">
        <v>45987</v>
      </c>
      <c r="AD44" s="5" t="s">
        <v>84</v>
      </c>
      <c r="AE44" s="5" t="s">
        <v>60</v>
      </c>
      <c r="AF44" s="5"/>
      <c r="AG44" s="5"/>
      <c r="AH44" s="5" t="s">
        <v>65</v>
      </c>
      <c r="AI44" s="5" t="s">
        <v>92</v>
      </c>
      <c r="AJ44" s="6">
        <v>46020</v>
      </c>
      <c r="AK44" s="6"/>
      <c r="AL44" s="5" t="s">
        <v>269</v>
      </c>
      <c r="AM44" s="5">
        <v>6382634252</v>
      </c>
      <c r="AN44" s="5"/>
      <c r="AO44" s="5"/>
      <c r="AP44" s="5"/>
      <c r="AQ44" s="5"/>
      <c r="AR44" s="5">
        <v>500004</v>
      </c>
      <c r="AS44" s="5"/>
      <c r="AT44" s="6">
        <v>45993</v>
      </c>
      <c r="AU44" t="str">
        <f t="shared" si="0"/>
        <v>December</v>
      </c>
      <c r="AV44" s="5"/>
      <c r="AW44" s="5" t="s">
        <v>68</v>
      </c>
    </row>
    <row r="45" spans="1:49" s="7" customFormat="1" x14ac:dyDescent="0.35">
      <c r="A45" s="8">
        <v>2129475</v>
      </c>
      <c r="B45" s="8" t="s">
        <v>270</v>
      </c>
      <c r="C45" s="8" t="s">
        <v>49</v>
      </c>
      <c r="D45" s="9">
        <v>45957</v>
      </c>
      <c r="E45" s="8" t="s">
        <v>50</v>
      </c>
      <c r="F45" s="8" t="s">
        <v>271</v>
      </c>
      <c r="G45" s="8" t="s">
        <v>52</v>
      </c>
      <c r="H45" s="8">
        <v>82</v>
      </c>
      <c r="I45" s="8">
        <v>83.66</v>
      </c>
      <c r="J45" s="8" t="s">
        <v>108</v>
      </c>
      <c r="K45" s="8" t="s">
        <v>54</v>
      </c>
      <c r="L45" s="8" t="s">
        <v>55</v>
      </c>
      <c r="M45" s="8" t="s">
        <v>115</v>
      </c>
      <c r="N45" s="8" t="s">
        <v>11</v>
      </c>
      <c r="O45" s="8" t="s">
        <v>58</v>
      </c>
      <c r="P45" s="8" t="s">
        <v>59</v>
      </c>
      <c r="Q45" s="9">
        <v>45957</v>
      </c>
      <c r="R45" s="8" t="s">
        <v>60</v>
      </c>
      <c r="S45" s="9">
        <v>45901</v>
      </c>
      <c r="T45" s="8" t="s">
        <v>49</v>
      </c>
      <c r="U45" s="8" t="s">
        <v>125</v>
      </c>
      <c r="V45" s="8" t="s">
        <v>62</v>
      </c>
      <c r="W45" s="8"/>
      <c r="X45" s="9">
        <v>45957</v>
      </c>
      <c r="Y45" s="9">
        <v>45901</v>
      </c>
      <c r="Z45" s="9">
        <v>45957</v>
      </c>
      <c r="AA45" s="8" t="s">
        <v>126</v>
      </c>
      <c r="AB45" s="8" t="s">
        <v>60</v>
      </c>
      <c r="AC45" s="9">
        <v>45957</v>
      </c>
      <c r="AD45" s="8" t="s">
        <v>64</v>
      </c>
      <c r="AE45" s="8" t="s">
        <v>60</v>
      </c>
      <c r="AF45" s="8"/>
      <c r="AG45" s="8"/>
      <c r="AH45" s="8" t="s">
        <v>130</v>
      </c>
      <c r="AI45" s="8" t="s">
        <v>66</v>
      </c>
      <c r="AJ45" s="9">
        <v>45985</v>
      </c>
      <c r="AK45" s="9"/>
      <c r="AL45" s="8" t="s">
        <v>272</v>
      </c>
      <c r="AM45" s="8">
        <v>7550376891</v>
      </c>
      <c r="AN45" s="8"/>
      <c r="AO45" s="8"/>
      <c r="AP45" s="8"/>
      <c r="AQ45" s="8"/>
      <c r="AR45" s="8">
        <v>33000</v>
      </c>
      <c r="AS45" s="8"/>
      <c r="AT45" s="9">
        <v>45960</v>
      </c>
      <c r="AU45" t="str">
        <f t="shared" si="0"/>
        <v>October</v>
      </c>
      <c r="AV45" s="8"/>
      <c r="AW45" s="8" t="s">
        <v>68</v>
      </c>
    </row>
    <row r="46" spans="1:49" s="4" customFormat="1" x14ac:dyDescent="0.35">
      <c r="A46" s="5">
        <v>2127788</v>
      </c>
      <c r="B46" s="5" t="s">
        <v>273</v>
      </c>
      <c r="C46" s="5" t="s">
        <v>49</v>
      </c>
      <c r="D46" s="6">
        <v>45954</v>
      </c>
      <c r="E46" s="5" t="s">
        <v>50</v>
      </c>
      <c r="F46" s="5" t="s">
        <v>274</v>
      </c>
      <c r="G46" s="5" t="s">
        <v>52</v>
      </c>
      <c r="H46" s="5">
        <v>91.4</v>
      </c>
      <c r="I46" s="5">
        <v>61.9</v>
      </c>
      <c r="J46" s="5" t="s">
        <v>108</v>
      </c>
      <c r="K46" s="5" t="s">
        <v>54</v>
      </c>
      <c r="L46" s="5" t="s">
        <v>55</v>
      </c>
      <c r="M46" s="5" t="s">
        <v>74</v>
      </c>
      <c r="N46" s="5" t="s">
        <v>275</v>
      </c>
      <c r="O46" s="5" t="s">
        <v>58</v>
      </c>
      <c r="P46" s="5" t="s">
        <v>59</v>
      </c>
      <c r="Q46" s="6">
        <v>45954</v>
      </c>
      <c r="R46" s="5" t="s">
        <v>60</v>
      </c>
      <c r="S46" s="6">
        <v>45958</v>
      </c>
      <c r="T46" s="5" t="s">
        <v>49</v>
      </c>
      <c r="U46" s="5" t="s">
        <v>125</v>
      </c>
      <c r="V46" s="5" t="s">
        <v>62</v>
      </c>
      <c r="W46" s="5"/>
      <c r="X46" s="6">
        <v>45958</v>
      </c>
      <c r="Y46" s="6">
        <v>45958</v>
      </c>
      <c r="Z46" s="6">
        <v>45958</v>
      </c>
      <c r="AA46" s="5" t="s">
        <v>126</v>
      </c>
      <c r="AB46" s="5" t="s">
        <v>60</v>
      </c>
      <c r="AC46" s="6">
        <v>45960</v>
      </c>
      <c r="AD46" s="5" t="s">
        <v>64</v>
      </c>
      <c r="AE46" s="5" t="s">
        <v>60</v>
      </c>
      <c r="AF46" s="5"/>
      <c r="AG46" s="5"/>
      <c r="AH46" s="5" t="s">
        <v>65</v>
      </c>
      <c r="AI46" s="5" t="s">
        <v>66</v>
      </c>
      <c r="AJ46" s="6">
        <v>45978</v>
      </c>
      <c r="AK46" s="6"/>
      <c r="AL46" s="5" t="s">
        <v>276</v>
      </c>
      <c r="AM46" s="5">
        <v>6369186820</v>
      </c>
      <c r="AN46" s="5"/>
      <c r="AO46" s="5"/>
      <c r="AP46" s="5"/>
      <c r="AQ46" s="5"/>
      <c r="AR46" s="5">
        <v>360000</v>
      </c>
      <c r="AS46" s="5"/>
      <c r="AT46" s="6">
        <v>45967</v>
      </c>
      <c r="AU46" t="str">
        <f t="shared" si="0"/>
        <v>November</v>
      </c>
      <c r="AV46" s="5"/>
      <c r="AW46" s="5" t="s">
        <v>68</v>
      </c>
    </row>
    <row r="47" spans="1:49" s="7" customFormat="1" x14ac:dyDescent="0.35">
      <c r="A47" s="8">
        <v>2111922</v>
      </c>
      <c r="B47" s="8" t="s">
        <v>277</v>
      </c>
      <c r="C47" s="8" t="s">
        <v>49</v>
      </c>
      <c r="D47" s="9">
        <v>45926</v>
      </c>
      <c r="E47" s="8" t="s">
        <v>50</v>
      </c>
      <c r="F47" s="8" t="s">
        <v>278</v>
      </c>
      <c r="G47" s="8" t="s">
        <v>52</v>
      </c>
      <c r="H47" s="8">
        <v>87.4</v>
      </c>
      <c r="I47" s="8">
        <v>62</v>
      </c>
      <c r="J47" s="8" t="s">
        <v>108</v>
      </c>
      <c r="K47" s="8" t="s">
        <v>54</v>
      </c>
      <c r="L47" s="8" t="s">
        <v>55</v>
      </c>
      <c r="M47" s="8" t="s">
        <v>115</v>
      </c>
      <c r="N47" s="8" t="s">
        <v>11</v>
      </c>
      <c r="O47" s="8" t="s">
        <v>58</v>
      </c>
      <c r="P47" s="8" t="s">
        <v>59</v>
      </c>
      <c r="Q47" s="9">
        <v>45926</v>
      </c>
      <c r="R47" s="8" t="s">
        <v>60</v>
      </c>
      <c r="S47" s="9">
        <v>45931</v>
      </c>
      <c r="T47" s="8" t="s">
        <v>49</v>
      </c>
      <c r="U47" s="8" t="s">
        <v>125</v>
      </c>
      <c r="V47" s="8" t="s">
        <v>62</v>
      </c>
      <c r="W47" s="8"/>
      <c r="X47" s="9">
        <v>46029</v>
      </c>
      <c r="Y47" s="9">
        <v>45931</v>
      </c>
      <c r="Z47" s="9">
        <v>46029</v>
      </c>
      <c r="AA47" s="8" t="s">
        <v>126</v>
      </c>
      <c r="AB47" s="8" t="s">
        <v>60</v>
      </c>
      <c r="AC47" s="9">
        <v>46029</v>
      </c>
      <c r="AD47" s="8" t="s">
        <v>64</v>
      </c>
      <c r="AE47" s="8" t="s">
        <v>60</v>
      </c>
      <c r="AF47" s="8"/>
      <c r="AG47" s="8"/>
      <c r="AH47" s="8" t="s">
        <v>65</v>
      </c>
      <c r="AI47" s="8" t="s">
        <v>66</v>
      </c>
      <c r="AJ47" s="9">
        <v>46055</v>
      </c>
      <c r="AK47" s="9"/>
      <c r="AL47" s="8" t="s">
        <v>279</v>
      </c>
      <c r="AM47" s="8">
        <v>6369796056</v>
      </c>
      <c r="AN47" s="8"/>
      <c r="AO47" s="8"/>
      <c r="AP47" s="8"/>
      <c r="AQ47" s="8"/>
      <c r="AR47" s="8">
        <v>396000</v>
      </c>
      <c r="AS47" s="8"/>
      <c r="AT47" s="9">
        <v>46051</v>
      </c>
      <c r="AU47" t="str">
        <f t="shared" si="0"/>
        <v>January</v>
      </c>
      <c r="AV47" s="8"/>
      <c r="AW47" s="8" t="s">
        <v>68</v>
      </c>
    </row>
    <row r="48" spans="1:49" s="4" customFormat="1" x14ac:dyDescent="0.35">
      <c r="A48" s="5">
        <v>2108168</v>
      </c>
      <c r="B48" s="5" t="s">
        <v>280</v>
      </c>
      <c r="C48" s="5" t="s">
        <v>281</v>
      </c>
      <c r="D48" s="6">
        <v>45923</v>
      </c>
      <c r="E48" s="5" t="s">
        <v>50</v>
      </c>
      <c r="F48" s="5" t="s">
        <v>282</v>
      </c>
      <c r="G48" s="5" t="s">
        <v>52</v>
      </c>
      <c r="H48" s="5">
        <v>87.8</v>
      </c>
      <c r="I48" s="5">
        <v>65.75</v>
      </c>
      <c r="J48" s="5" t="s">
        <v>72</v>
      </c>
      <c r="K48" s="5" t="s">
        <v>73</v>
      </c>
      <c r="L48" s="5" t="s">
        <v>55</v>
      </c>
      <c r="M48" s="5" t="s">
        <v>74</v>
      </c>
      <c r="N48" s="5" t="s">
        <v>90</v>
      </c>
      <c r="O48" s="5" t="s">
        <v>58</v>
      </c>
      <c r="P48" s="5" t="s">
        <v>59</v>
      </c>
      <c r="Q48" s="6">
        <v>45923</v>
      </c>
      <c r="R48" s="5" t="s">
        <v>60</v>
      </c>
      <c r="S48" s="6">
        <v>45924</v>
      </c>
      <c r="T48" s="5" t="s">
        <v>281</v>
      </c>
      <c r="U48" s="5" t="s">
        <v>283</v>
      </c>
      <c r="V48" s="5" t="s">
        <v>62</v>
      </c>
      <c r="W48" s="5"/>
      <c r="X48" s="6">
        <v>45924</v>
      </c>
      <c r="Y48" s="6">
        <v>45954</v>
      </c>
      <c r="Z48" s="6">
        <v>45924</v>
      </c>
      <c r="AA48" s="5" t="s">
        <v>68</v>
      </c>
      <c r="AB48" s="5" t="s">
        <v>60</v>
      </c>
      <c r="AC48" s="6">
        <v>45925</v>
      </c>
      <c r="AD48" s="5" t="s">
        <v>84</v>
      </c>
      <c r="AE48" s="5" t="s">
        <v>60</v>
      </c>
      <c r="AF48" s="5"/>
      <c r="AG48" s="5"/>
      <c r="AH48" s="5" t="s">
        <v>65</v>
      </c>
      <c r="AI48" s="5" t="s">
        <v>78</v>
      </c>
      <c r="AJ48" s="6">
        <v>45971</v>
      </c>
      <c r="AK48" s="6"/>
      <c r="AL48" s="5" t="s">
        <v>284</v>
      </c>
      <c r="AM48" s="5">
        <v>8526626803</v>
      </c>
      <c r="AN48" s="5"/>
      <c r="AO48" s="5"/>
      <c r="AP48" s="5"/>
      <c r="AQ48" s="5"/>
      <c r="AR48" s="5">
        <v>444000</v>
      </c>
      <c r="AS48" s="5"/>
      <c r="AT48" s="6">
        <v>45940</v>
      </c>
      <c r="AU48" t="str">
        <f t="shared" si="0"/>
        <v>October</v>
      </c>
      <c r="AV48" s="5"/>
      <c r="AW48" s="5" t="s">
        <v>68</v>
      </c>
    </row>
    <row r="49" spans="1:49" s="7" customFormat="1" x14ac:dyDescent="0.35">
      <c r="A49" s="8">
        <v>2087814</v>
      </c>
      <c r="B49" s="8" t="s">
        <v>285</v>
      </c>
      <c r="C49" s="8" t="s">
        <v>49</v>
      </c>
      <c r="D49" s="9">
        <v>45899</v>
      </c>
      <c r="E49" s="8" t="s">
        <v>50</v>
      </c>
      <c r="F49" s="8" t="s">
        <v>271</v>
      </c>
      <c r="G49" s="8" t="s">
        <v>52</v>
      </c>
      <c r="H49" s="8">
        <v>82</v>
      </c>
      <c r="I49" s="8">
        <v>84</v>
      </c>
      <c r="J49" s="8" t="s">
        <v>108</v>
      </c>
      <c r="K49" s="8" t="s">
        <v>54</v>
      </c>
      <c r="L49" s="8" t="s">
        <v>55</v>
      </c>
      <c r="M49" s="8" t="s">
        <v>74</v>
      </c>
      <c r="N49" s="8" t="s">
        <v>286</v>
      </c>
      <c r="O49" s="8" t="s">
        <v>58</v>
      </c>
      <c r="P49" s="8" t="s">
        <v>59</v>
      </c>
      <c r="Q49" s="9">
        <v>45899</v>
      </c>
      <c r="R49" s="8" t="s">
        <v>60</v>
      </c>
      <c r="S49" s="9">
        <v>45956</v>
      </c>
      <c r="T49" s="8" t="s">
        <v>49</v>
      </c>
      <c r="U49" s="8" t="s">
        <v>125</v>
      </c>
      <c r="V49" s="8" t="s">
        <v>62</v>
      </c>
      <c r="W49" s="8"/>
      <c r="X49" s="9">
        <v>45957</v>
      </c>
      <c r="Y49" s="9">
        <v>45956</v>
      </c>
      <c r="Z49" s="9">
        <v>45957</v>
      </c>
      <c r="AA49" s="8"/>
      <c r="AB49" s="8" t="s">
        <v>60</v>
      </c>
      <c r="AC49" s="9">
        <v>45957</v>
      </c>
      <c r="AD49" s="8"/>
      <c r="AE49" s="8" t="s">
        <v>60</v>
      </c>
      <c r="AF49" s="8"/>
      <c r="AG49" s="8"/>
      <c r="AH49" s="8" t="s">
        <v>65</v>
      </c>
      <c r="AI49" s="8" t="s">
        <v>66</v>
      </c>
      <c r="AJ49" s="9">
        <v>45985</v>
      </c>
      <c r="AK49" s="9"/>
      <c r="AL49" s="8" t="s">
        <v>272</v>
      </c>
      <c r="AM49" s="8">
        <v>7550376891</v>
      </c>
      <c r="AN49" s="8"/>
      <c r="AO49" s="8"/>
      <c r="AP49" s="8"/>
      <c r="AQ49" s="8"/>
      <c r="AR49" s="8">
        <v>396000</v>
      </c>
      <c r="AS49" s="8"/>
      <c r="AT49" s="9">
        <v>45981</v>
      </c>
      <c r="AU49" t="str">
        <f t="shared" si="0"/>
        <v>November</v>
      </c>
      <c r="AV49" s="8"/>
      <c r="AW49" s="8" t="s">
        <v>68</v>
      </c>
    </row>
    <row r="50" spans="1:49" s="4" customFormat="1" x14ac:dyDescent="0.35">
      <c r="A50" s="5">
        <v>2008276</v>
      </c>
      <c r="B50" s="5" t="s">
        <v>287</v>
      </c>
      <c r="C50" s="5" t="s">
        <v>49</v>
      </c>
      <c r="D50" s="6">
        <v>45807</v>
      </c>
      <c r="E50" s="5" t="s">
        <v>50</v>
      </c>
      <c r="F50" s="5" t="s">
        <v>288</v>
      </c>
      <c r="G50" s="5" t="s">
        <v>52</v>
      </c>
      <c r="H50" s="5">
        <v>73.400000000000006</v>
      </c>
      <c r="I50" s="5">
        <v>78.900000000000006</v>
      </c>
      <c r="J50" s="5" t="s">
        <v>72</v>
      </c>
      <c r="K50" s="5" t="s">
        <v>73</v>
      </c>
      <c r="L50" s="5" t="s">
        <v>55</v>
      </c>
      <c r="M50" s="5" t="s">
        <v>74</v>
      </c>
      <c r="N50" s="5" t="s">
        <v>124</v>
      </c>
      <c r="O50" s="5" t="s">
        <v>58</v>
      </c>
      <c r="P50" s="5" t="s">
        <v>59</v>
      </c>
      <c r="Q50" s="6">
        <v>45807</v>
      </c>
      <c r="R50" s="5" t="s">
        <v>60</v>
      </c>
      <c r="S50" s="6">
        <v>45971</v>
      </c>
      <c r="T50" s="5" t="s">
        <v>49</v>
      </c>
      <c r="U50" s="5" t="s">
        <v>289</v>
      </c>
      <c r="V50" s="5" t="s">
        <v>62</v>
      </c>
      <c r="W50" s="5"/>
      <c r="X50" s="6">
        <v>45973</v>
      </c>
      <c r="Y50" s="6">
        <v>45971</v>
      </c>
      <c r="Z50" s="6">
        <v>45972</v>
      </c>
      <c r="AA50" s="5"/>
      <c r="AB50" s="5" t="s">
        <v>60</v>
      </c>
      <c r="AC50" s="6">
        <v>45973</v>
      </c>
      <c r="AD50" s="5"/>
      <c r="AE50" s="5" t="s">
        <v>60</v>
      </c>
      <c r="AF50" s="5"/>
      <c r="AG50" s="5"/>
      <c r="AH50" s="5" t="s">
        <v>65</v>
      </c>
      <c r="AI50" s="5" t="s">
        <v>78</v>
      </c>
      <c r="AJ50" s="6">
        <v>45985</v>
      </c>
      <c r="AK50" s="6"/>
      <c r="AL50" s="5" t="s">
        <v>290</v>
      </c>
      <c r="AM50" s="5">
        <v>9600299199</v>
      </c>
      <c r="AN50" s="5"/>
      <c r="AO50" s="5"/>
      <c r="AP50" s="5"/>
      <c r="AQ50" s="5"/>
      <c r="AR50" s="5">
        <v>444000</v>
      </c>
      <c r="AS50" s="5"/>
      <c r="AT50" s="6">
        <v>45975</v>
      </c>
      <c r="AU50" t="str">
        <f t="shared" si="0"/>
        <v>November</v>
      </c>
      <c r="AV50" s="5"/>
      <c r="AW50" s="5" t="s">
        <v>68</v>
      </c>
    </row>
    <row r="51" spans="1:49" s="7" customFormat="1" x14ac:dyDescent="0.35">
      <c r="A51" s="8">
        <v>1942876</v>
      </c>
      <c r="B51" s="8" t="s">
        <v>291</v>
      </c>
      <c r="C51" s="8" t="s">
        <v>49</v>
      </c>
      <c r="D51" s="9">
        <v>45730</v>
      </c>
      <c r="E51" s="8" t="s">
        <v>50</v>
      </c>
      <c r="F51" s="8" t="s">
        <v>292</v>
      </c>
      <c r="G51" s="8" t="s">
        <v>52</v>
      </c>
      <c r="H51" s="8">
        <v>74.2</v>
      </c>
      <c r="I51" s="8">
        <v>67.08</v>
      </c>
      <c r="J51" s="8" t="s">
        <v>72</v>
      </c>
      <c r="K51" s="8" t="s">
        <v>73</v>
      </c>
      <c r="L51" s="8" t="s">
        <v>55</v>
      </c>
      <c r="M51" s="8" t="s">
        <v>74</v>
      </c>
      <c r="N51" s="8" t="s">
        <v>232</v>
      </c>
      <c r="O51" s="8" t="s">
        <v>58</v>
      </c>
      <c r="P51" s="8" t="s">
        <v>59</v>
      </c>
      <c r="Q51" s="9">
        <v>45730</v>
      </c>
      <c r="R51" s="8" t="s">
        <v>60</v>
      </c>
      <c r="S51" s="9">
        <v>45973</v>
      </c>
      <c r="T51" s="8" t="s">
        <v>49</v>
      </c>
      <c r="U51" s="8" t="s">
        <v>289</v>
      </c>
      <c r="V51" s="8" t="s">
        <v>62</v>
      </c>
      <c r="W51" s="8"/>
      <c r="X51" s="9">
        <v>45974</v>
      </c>
      <c r="Y51" s="9">
        <v>45973</v>
      </c>
      <c r="Z51" s="9">
        <v>45974</v>
      </c>
      <c r="AA51" s="8"/>
      <c r="AB51" s="8" t="s">
        <v>60</v>
      </c>
      <c r="AC51" s="9">
        <v>45974</v>
      </c>
      <c r="AD51" s="8"/>
      <c r="AE51" s="8" t="s">
        <v>60</v>
      </c>
      <c r="AF51" s="8"/>
      <c r="AG51" s="8"/>
      <c r="AH51" s="8" t="s">
        <v>65</v>
      </c>
      <c r="AI51" s="8" t="s">
        <v>78</v>
      </c>
      <c r="AJ51" s="9">
        <v>45985</v>
      </c>
      <c r="AK51" s="9"/>
      <c r="AL51" s="8" t="s">
        <v>293</v>
      </c>
      <c r="AM51" s="8">
        <v>9047342774</v>
      </c>
      <c r="AN51" s="8"/>
      <c r="AO51" s="8"/>
      <c r="AP51" s="8"/>
      <c r="AQ51" s="8"/>
      <c r="AR51" s="8">
        <v>444000</v>
      </c>
      <c r="AS51" s="8"/>
      <c r="AT51" s="9">
        <v>45978</v>
      </c>
      <c r="AU51" t="str">
        <f t="shared" si="0"/>
        <v>November</v>
      </c>
      <c r="AV51" s="8"/>
      <c r="AW51" s="8" t="s">
        <v>68</v>
      </c>
    </row>
    <row r="52" spans="1:49" s="4" customFormat="1" ht="16.5" customHeight="1" x14ac:dyDescent="0.35">
      <c r="A52" s="5">
        <v>2450522</v>
      </c>
      <c r="B52" s="5" t="s">
        <v>299</v>
      </c>
      <c r="C52" s="5" t="s">
        <v>133</v>
      </c>
      <c r="D52" s="6">
        <v>46268</v>
      </c>
      <c r="E52" s="5" t="s">
        <v>50</v>
      </c>
      <c r="F52" s="5" t="s">
        <v>300</v>
      </c>
      <c r="G52" s="5" t="s">
        <v>107</v>
      </c>
      <c r="H52" s="5">
        <v>92</v>
      </c>
      <c r="I52" s="5">
        <v>84</v>
      </c>
      <c r="J52" s="5" t="s">
        <v>108</v>
      </c>
      <c r="K52" s="5" t="s">
        <v>54</v>
      </c>
      <c r="L52" s="5" t="s">
        <v>55</v>
      </c>
      <c r="M52" s="5" t="s">
        <v>74</v>
      </c>
      <c r="N52" s="5" t="s">
        <v>301</v>
      </c>
      <c r="O52" s="5" t="s">
        <v>58</v>
      </c>
      <c r="P52" s="5" t="s">
        <v>59</v>
      </c>
      <c r="Q52" s="6">
        <v>46268</v>
      </c>
      <c r="R52" s="5"/>
      <c r="S52" s="6">
        <v>46269</v>
      </c>
      <c r="T52" s="5" t="s">
        <v>133</v>
      </c>
      <c r="U52" s="5" t="s">
        <v>135</v>
      </c>
      <c r="V52" s="5" t="s">
        <v>62</v>
      </c>
      <c r="W52" s="5"/>
      <c r="X52" s="6">
        <v>46269</v>
      </c>
      <c r="Y52" s="6">
        <v>46269</v>
      </c>
      <c r="Z52" s="6">
        <v>46269</v>
      </c>
      <c r="AA52" s="5" t="s">
        <v>136</v>
      </c>
      <c r="AB52" s="5" t="s">
        <v>60</v>
      </c>
      <c r="AC52" s="6">
        <v>46269</v>
      </c>
      <c r="AD52" s="5" t="s">
        <v>64</v>
      </c>
      <c r="AE52" s="5" t="s">
        <v>60</v>
      </c>
      <c r="AF52" s="5"/>
      <c r="AG52" s="5"/>
      <c r="AH52" s="5" t="s">
        <v>130</v>
      </c>
      <c r="AI52" s="5" t="s">
        <v>66</v>
      </c>
      <c r="AJ52" s="5"/>
      <c r="AK52" s="5" t="s">
        <v>302</v>
      </c>
      <c r="AL52" s="5">
        <v>7902864284</v>
      </c>
      <c r="AM52" s="5"/>
      <c r="AN52" s="5"/>
      <c r="AO52" s="5"/>
      <c r="AP52" s="5"/>
      <c r="AQ52" s="5">
        <v>30000</v>
      </c>
      <c r="AR52" s="5"/>
      <c r="AS52" s="6">
        <v>46274</v>
      </c>
      <c r="AT52" s="5"/>
      <c r="AU52" s="5" t="s">
        <v>68</v>
      </c>
    </row>
    <row r="53" spans="1:49" s="7" customFormat="1" ht="19" customHeight="1" x14ac:dyDescent="0.35">
      <c r="A53" s="8">
        <v>2419290</v>
      </c>
      <c r="B53" s="8" t="s">
        <v>303</v>
      </c>
      <c r="C53" s="8" t="s">
        <v>49</v>
      </c>
      <c r="D53" s="9">
        <v>46237</v>
      </c>
      <c r="E53" s="8" t="s">
        <v>50</v>
      </c>
      <c r="F53" s="8" t="s">
        <v>304</v>
      </c>
      <c r="G53" s="8" t="s">
        <v>52</v>
      </c>
      <c r="H53" s="8">
        <v>90</v>
      </c>
      <c r="I53" s="8">
        <v>90</v>
      </c>
      <c r="J53" s="8" t="s">
        <v>305</v>
      </c>
      <c r="K53" s="8" t="s">
        <v>306</v>
      </c>
      <c r="L53" s="8" t="s">
        <v>55</v>
      </c>
      <c r="M53" s="8" t="s">
        <v>74</v>
      </c>
      <c r="N53" s="8" t="s">
        <v>307</v>
      </c>
      <c r="O53" s="8" t="s">
        <v>58</v>
      </c>
      <c r="P53" s="8" t="s">
        <v>59</v>
      </c>
      <c r="Q53" s="9">
        <v>46237</v>
      </c>
      <c r="R53" s="8"/>
      <c r="S53" s="9">
        <v>46242</v>
      </c>
      <c r="T53" s="8" t="s">
        <v>49</v>
      </c>
      <c r="U53" s="8" t="s">
        <v>308</v>
      </c>
      <c r="V53" s="8" t="s">
        <v>62</v>
      </c>
      <c r="W53" s="8"/>
      <c r="X53" s="9">
        <v>46241</v>
      </c>
      <c r="Y53" s="9">
        <v>46242</v>
      </c>
      <c r="Z53" s="9">
        <v>46240</v>
      </c>
      <c r="AA53" s="8" t="s">
        <v>68</v>
      </c>
      <c r="AB53" s="8" t="s">
        <v>60</v>
      </c>
      <c r="AC53" s="9">
        <v>46247</v>
      </c>
      <c r="AD53" s="8" t="s">
        <v>309</v>
      </c>
      <c r="AE53" s="8" t="s">
        <v>60</v>
      </c>
      <c r="AF53" s="8"/>
      <c r="AG53" s="8"/>
      <c r="AH53" s="8" t="s">
        <v>130</v>
      </c>
      <c r="AI53" s="8" t="s">
        <v>310</v>
      </c>
      <c r="AJ53" s="9">
        <v>46300</v>
      </c>
      <c r="AK53" s="8" t="s">
        <v>311</v>
      </c>
      <c r="AL53" s="8">
        <v>9751270089</v>
      </c>
      <c r="AM53" s="8"/>
      <c r="AN53" s="8"/>
      <c r="AO53" s="8"/>
      <c r="AP53" s="8"/>
      <c r="AQ53" s="8">
        <v>36395</v>
      </c>
      <c r="AR53" s="8"/>
      <c r="AS53" s="9">
        <v>46267</v>
      </c>
      <c r="AT53" s="8"/>
      <c r="AU53" s="8" t="s">
        <v>68</v>
      </c>
    </row>
    <row r="54" spans="1:49" s="4" customFormat="1" ht="16.5" customHeight="1" x14ac:dyDescent="0.35">
      <c r="A54" s="5">
        <v>2425007</v>
      </c>
      <c r="B54" s="5" t="s">
        <v>312</v>
      </c>
      <c r="C54" s="5" t="s">
        <v>281</v>
      </c>
      <c r="D54" s="6">
        <v>46242</v>
      </c>
      <c r="E54" s="5" t="s">
        <v>50</v>
      </c>
      <c r="F54" s="5" t="s">
        <v>313</v>
      </c>
      <c r="G54" s="5" t="s">
        <v>52</v>
      </c>
      <c r="H54" s="5">
        <v>60</v>
      </c>
      <c r="I54" s="5">
        <v>60</v>
      </c>
      <c r="J54" s="5" t="s">
        <v>72</v>
      </c>
      <c r="K54" s="5" t="s">
        <v>73</v>
      </c>
      <c r="L54" s="5" t="s">
        <v>55</v>
      </c>
      <c r="M54" s="5" t="s">
        <v>74</v>
      </c>
      <c r="N54" s="5" t="s">
        <v>314</v>
      </c>
      <c r="O54" s="5" t="s">
        <v>58</v>
      </c>
      <c r="P54" s="5" t="s">
        <v>59</v>
      </c>
      <c r="Q54" s="6">
        <v>46242</v>
      </c>
      <c r="R54" s="5" t="s">
        <v>60</v>
      </c>
      <c r="S54" s="6">
        <v>46265</v>
      </c>
      <c r="T54" s="5" t="s">
        <v>281</v>
      </c>
      <c r="U54" s="5" t="s">
        <v>76</v>
      </c>
      <c r="V54" s="5" t="s">
        <v>62</v>
      </c>
      <c r="W54" s="5"/>
      <c r="X54" s="6">
        <v>46265</v>
      </c>
      <c r="Y54" s="6">
        <v>46265</v>
      </c>
      <c r="Z54" s="6">
        <v>46265</v>
      </c>
      <c r="AA54" s="5" t="s">
        <v>77</v>
      </c>
      <c r="AB54" s="5" t="s">
        <v>60</v>
      </c>
      <c r="AC54" s="6">
        <v>46267</v>
      </c>
      <c r="AD54" s="5" t="s">
        <v>102</v>
      </c>
      <c r="AE54" s="5" t="s">
        <v>60</v>
      </c>
      <c r="AF54" s="5"/>
      <c r="AG54" s="5"/>
      <c r="AH54" s="5" t="s">
        <v>130</v>
      </c>
      <c r="AI54" s="5" t="s">
        <v>78</v>
      </c>
      <c r="AJ54" s="6">
        <v>46280</v>
      </c>
      <c r="AK54" s="5" t="s">
        <v>315</v>
      </c>
      <c r="AL54" s="5">
        <v>7358550218</v>
      </c>
      <c r="AM54" s="5"/>
      <c r="AN54" s="5"/>
      <c r="AO54" s="5"/>
      <c r="AP54" s="5"/>
      <c r="AQ54" s="5">
        <v>40000</v>
      </c>
      <c r="AR54" s="5"/>
      <c r="AS54" s="6">
        <v>46275</v>
      </c>
      <c r="AT54" s="5"/>
      <c r="AU54" s="5" t="s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4"/>
  <sheetViews>
    <sheetView workbookViewId="0"/>
  </sheetViews>
  <sheetFormatPr defaultRowHeight="14.5" x14ac:dyDescent="0.35"/>
  <cols>
    <col min="1" max="1" width="9.81640625" bestFit="1" customWidth="1"/>
    <col min="4" max="4" width="9.81640625" bestFit="1" customWidth="1"/>
  </cols>
  <sheetData>
    <row r="1" spans="1:3" x14ac:dyDescent="0.35">
      <c r="A1" t="s">
        <v>294</v>
      </c>
      <c r="B1" t="s">
        <v>295</v>
      </c>
      <c r="C1" t="s">
        <v>296</v>
      </c>
    </row>
    <row r="2" spans="1:3" x14ac:dyDescent="0.35">
      <c r="A2" s="10">
        <v>46266</v>
      </c>
      <c r="B2">
        <v>1</v>
      </c>
      <c r="C2">
        <v>0</v>
      </c>
    </row>
    <row r="3" spans="1:3" x14ac:dyDescent="0.35">
      <c r="A3" s="10">
        <v>46266</v>
      </c>
      <c r="B3">
        <v>0</v>
      </c>
      <c r="C3">
        <v>1</v>
      </c>
    </row>
    <row r="4" spans="1:3" x14ac:dyDescent="0.35">
      <c r="A4" s="10">
        <v>46235</v>
      </c>
      <c r="B4">
        <v>1</v>
      </c>
      <c r="C4">
        <v>0</v>
      </c>
    </row>
    <row r="5" spans="1:3" x14ac:dyDescent="0.35">
      <c r="A5" s="10">
        <v>46235</v>
      </c>
      <c r="B5">
        <v>0</v>
      </c>
      <c r="C5">
        <v>1</v>
      </c>
    </row>
    <row r="6" spans="1:3" x14ac:dyDescent="0.35">
      <c r="A6" s="10">
        <v>46204</v>
      </c>
      <c r="B6">
        <v>1</v>
      </c>
      <c r="C6">
        <v>0</v>
      </c>
    </row>
    <row r="7" spans="1:3" x14ac:dyDescent="0.35">
      <c r="A7" s="10">
        <v>46235</v>
      </c>
      <c r="B7">
        <v>0</v>
      </c>
      <c r="C7">
        <v>1</v>
      </c>
    </row>
    <row r="8" spans="1:3" x14ac:dyDescent="0.35">
      <c r="A8" s="10">
        <v>46204</v>
      </c>
      <c r="B8">
        <v>1</v>
      </c>
      <c r="C8">
        <v>0</v>
      </c>
    </row>
    <row r="9" spans="1:3" x14ac:dyDescent="0.35">
      <c r="A9" s="10">
        <v>46235</v>
      </c>
      <c r="B9">
        <v>1</v>
      </c>
      <c r="C9">
        <v>0</v>
      </c>
    </row>
    <row r="10" spans="1:3" x14ac:dyDescent="0.35">
      <c r="A10" s="10">
        <v>46235</v>
      </c>
      <c r="B10">
        <v>0</v>
      </c>
      <c r="C10">
        <v>1</v>
      </c>
    </row>
    <row r="11" spans="1:3" x14ac:dyDescent="0.35">
      <c r="A11" s="10">
        <v>46204</v>
      </c>
      <c r="B11">
        <v>1</v>
      </c>
      <c r="C11">
        <v>0</v>
      </c>
    </row>
    <row r="12" spans="1:3" x14ac:dyDescent="0.35">
      <c r="A12" s="10">
        <v>46235</v>
      </c>
      <c r="B12">
        <v>0</v>
      </c>
      <c r="C12">
        <v>1</v>
      </c>
    </row>
    <row r="13" spans="1:3" x14ac:dyDescent="0.35">
      <c r="A13" s="10">
        <v>46204</v>
      </c>
      <c r="B13">
        <v>1</v>
      </c>
      <c r="C13">
        <v>0</v>
      </c>
    </row>
    <row r="14" spans="1:3" x14ac:dyDescent="0.35">
      <c r="A14" s="10">
        <v>46204</v>
      </c>
      <c r="B14">
        <v>0</v>
      </c>
      <c r="C14">
        <v>1</v>
      </c>
    </row>
    <row r="15" spans="1:3" x14ac:dyDescent="0.35">
      <c r="A15" s="10">
        <v>46204</v>
      </c>
      <c r="B15">
        <v>1</v>
      </c>
      <c r="C15">
        <v>0</v>
      </c>
    </row>
    <row r="16" spans="1:3" x14ac:dyDescent="0.35">
      <c r="A16" s="10">
        <v>46235</v>
      </c>
      <c r="B16">
        <v>0</v>
      </c>
      <c r="C16">
        <v>1</v>
      </c>
    </row>
    <row r="17" spans="1:3" x14ac:dyDescent="0.35">
      <c r="A17" s="10">
        <v>46204</v>
      </c>
      <c r="B17">
        <v>1</v>
      </c>
      <c r="C17">
        <v>0</v>
      </c>
    </row>
    <row r="18" spans="1:3" x14ac:dyDescent="0.35">
      <c r="A18" s="10">
        <v>46204</v>
      </c>
      <c r="B18">
        <v>0</v>
      </c>
      <c r="C18">
        <v>1</v>
      </c>
    </row>
    <row r="19" spans="1:3" x14ac:dyDescent="0.35">
      <c r="A19" s="10">
        <v>46204</v>
      </c>
      <c r="B19">
        <v>1</v>
      </c>
      <c r="C19">
        <v>0</v>
      </c>
    </row>
    <row r="20" spans="1:3" x14ac:dyDescent="0.35">
      <c r="A20" s="10">
        <v>46204</v>
      </c>
      <c r="B20">
        <v>0</v>
      </c>
      <c r="C20">
        <v>1</v>
      </c>
    </row>
    <row r="21" spans="1:3" x14ac:dyDescent="0.35">
      <c r="A21" s="10">
        <v>46266</v>
      </c>
      <c r="B21">
        <v>1</v>
      </c>
      <c r="C21">
        <v>0</v>
      </c>
    </row>
    <row r="22" spans="1:3" x14ac:dyDescent="0.35">
      <c r="A22" s="10">
        <v>46174</v>
      </c>
      <c r="B22">
        <v>1</v>
      </c>
      <c r="C22">
        <v>0</v>
      </c>
    </row>
    <row r="23" spans="1:3" x14ac:dyDescent="0.35">
      <c r="A23" s="10">
        <v>46174</v>
      </c>
      <c r="B23">
        <v>0</v>
      </c>
      <c r="C23">
        <v>1</v>
      </c>
    </row>
    <row r="24" spans="1:3" x14ac:dyDescent="0.35">
      <c r="A24" s="10">
        <v>46204</v>
      </c>
      <c r="B24">
        <v>1</v>
      </c>
      <c r="C24">
        <v>0</v>
      </c>
    </row>
    <row r="25" spans="1:3" x14ac:dyDescent="0.35">
      <c r="A25" s="10">
        <v>46204</v>
      </c>
      <c r="B25">
        <v>0</v>
      </c>
      <c r="C25">
        <v>1</v>
      </c>
    </row>
    <row r="26" spans="1:3" x14ac:dyDescent="0.35">
      <c r="A26" s="10">
        <v>46174</v>
      </c>
      <c r="B26">
        <v>1</v>
      </c>
      <c r="C26">
        <v>0</v>
      </c>
    </row>
    <row r="27" spans="1:3" x14ac:dyDescent="0.35">
      <c r="A27" s="10">
        <v>46174</v>
      </c>
      <c r="B27">
        <v>0</v>
      </c>
      <c r="C27">
        <v>1</v>
      </c>
    </row>
    <row r="28" spans="1:3" x14ac:dyDescent="0.35">
      <c r="A28" s="10">
        <v>46174</v>
      </c>
      <c r="B28">
        <v>1</v>
      </c>
      <c r="C28">
        <v>0</v>
      </c>
    </row>
    <row r="29" spans="1:3" x14ac:dyDescent="0.35">
      <c r="A29" s="10">
        <v>46174</v>
      </c>
      <c r="B29">
        <v>0</v>
      </c>
      <c r="C29">
        <v>1</v>
      </c>
    </row>
    <row r="30" spans="1:3" x14ac:dyDescent="0.35">
      <c r="A30" s="10">
        <v>46143</v>
      </c>
      <c r="B30">
        <v>1</v>
      </c>
      <c r="C30">
        <v>0</v>
      </c>
    </row>
    <row r="31" spans="1:3" x14ac:dyDescent="0.35">
      <c r="A31" s="10">
        <v>46143</v>
      </c>
      <c r="B31">
        <v>0</v>
      </c>
      <c r="C31">
        <v>1</v>
      </c>
    </row>
    <row r="32" spans="1:3" x14ac:dyDescent="0.35">
      <c r="A32" s="10">
        <v>46143</v>
      </c>
      <c r="B32">
        <v>1</v>
      </c>
      <c r="C32">
        <v>0</v>
      </c>
    </row>
    <row r="33" spans="1:3" x14ac:dyDescent="0.35">
      <c r="A33" s="10">
        <v>46174</v>
      </c>
      <c r="B33">
        <v>0</v>
      </c>
      <c r="C33">
        <v>1</v>
      </c>
    </row>
    <row r="34" spans="1:3" x14ac:dyDescent="0.35">
      <c r="A34" s="10">
        <v>46143</v>
      </c>
      <c r="B34">
        <v>1</v>
      </c>
      <c r="C34">
        <v>0</v>
      </c>
    </row>
    <row r="35" spans="1:3" x14ac:dyDescent="0.35">
      <c r="A35" s="10">
        <v>46143</v>
      </c>
      <c r="B35">
        <v>0</v>
      </c>
      <c r="C35">
        <v>1</v>
      </c>
    </row>
    <row r="36" spans="1:3" x14ac:dyDescent="0.35">
      <c r="A36" s="10">
        <v>46143</v>
      </c>
      <c r="B36">
        <v>1</v>
      </c>
      <c r="C36">
        <v>0</v>
      </c>
    </row>
    <row r="37" spans="1:3" x14ac:dyDescent="0.35">
      <c r="A37" s="10">
        <v>46143</v>
      </c>
      <c r="B37">
        <v>0</v>
      </c>
      <c r="C37">
        <v>1</v>
      </c>
    </row>
    <row r="38" spans="1:3" x14ac:dyDescent="0.35">
      <c r="A38" s="10">
        <v>46143</v>
      </c>
      <c r="B38">
        <v>1</v>
      </c>
      <c r="C38">
        <v>0</v>
      </c>
    </row>
    <row r="39" spans="1:3" x14ac:dyDescent="0.35">
      <c r="A39" s="10">
        <v>46143</v>
      </c>
      <c r="B39">
        <v>0</v>
      </c>
      <c r="C39">
        <v>1</v>
      </c>
    </row>
    <row r="40" spans="1:3" x14ac:dyDescent="0.35">
      <c r="A40" s="10">
        <v>46113</v>
      </c>
      <c r="B40">
        <v>1</v>
      </c>
      <c r="C40">
        <v>0</v>
      </c>
    </row>
    <row r="41" spans="1:3" x14ac:dyDescent="0.35">
      <c r="A41" s="10">
        <v>46113</v>
      </c>
      <c r="B41">
        <v>0</v>
      </c>
      <c r="C41">
        <v>1</v>
      </c>
    </row>
    <row r="42" spans="1:3" x14ac:dyDescent="0.35">
      <c r="A42" s="10">
        <v>46082</v>
      </c>
      <c r="B42">
        <v>1</v>
      </c>
      <c r="C42">
        <v>0</v>
      </c>
    </row>
    <row r="43" spans="1:3" x14ac:dyDescent="0.35">
      <c r="A43" s="10">
        <v>46113</v>
      </c>
      <c r="B43">
        <v>0</v>
      </c>
      <c r="C43">
        <v>1</v>
      </c>
    </row>
    <row r="44" spans="1:3" x14ac:dyDescent="0.35">
      <c r="A44" s="10">
        <v>46082</v>
      </c>
      <c r="B44">
        <v>1</v>
      </c>
      <c r="C44">
        <v>0</v>
      </c>
    </row>
    <row r="45" spans="1:3" x14ac:dyDescent="0.35">
      <c r="A45" s="10">
        <v>46082</v>
      </c>
      <c r="B45">
        <v>1</v>
      </c>
      <c r="C45">
        <v>0</v>
      </c>
    </row>
    <row r="46" spans="1:3" x14ac:dyDescent="0.35">
      <c r="A46" s="10">
        <v>46082</v>
      </c>
      <c r="B46">
        <v>0</v>
      </c>
      <c r="C46">
        <v>1</v>
      </c>
    </row>
    <row r="47" spans="1:3" x14ac:dyDescent="0.35">
      <c r="A47" s="10">
        <v>46082</v>
      </c>
      <c r="B47">
        <v>1</v>
      </c>
      <c r="C47">
        <v>0</v>
      </c>
    </row>
    <row r="48" spans="1:3" x14ac:dyDescent="0.35">
      <c r="A48" s="10">
        <v>46082</v>
      </c>
      <c r="B48">
        <v>0</v>
      </c>
      <c r="C48">
        <v>1</v>
      </c>
    </row>
    <row r="49" spans="1:3" x14ac:dyDescent="0.35">
      <c r="A49" s="10">
        <v>46082</v>
      </c>
      <c r="B49">
        <v>1</v>
      </c>
      <c r="C49">
        <v>0</v>
      </c>
    </row>
    <row r="50" spans="1:3" x14ac:dyDescent="0.35">
      <c r="A50" s="10">
        <v>46082</v>
      </c>
      <c r="B50">
        <v>0</v>
      </c>
      <c r="C50">
        <v>1</v>
      </c>
    </row>
    <row r="51" spans="1:3" x14ac:dyDescent="0.35">
      <c r="A51" s="10">
        <v>46082</v>
      </c>
      <c r="B51">
        <v>1</v>
      </c>
      <c r="C51">
        <v>0</v>
      </c>
    </row>
    <row r="52" spans="1:3" x14ac:dyDescent="0.35">
      <c r="A52" s="10">
        <v>46082</v>
      </c>
      <c r="B52">
        <v>0</v>
      </c>
      <c r="C52">
        <v>1</v>
      </c>
    </row>
    <row r="53" spans="1:3" x14ac:dyDescent="0.35">
      <c r="A53" s="10">
        <v>46054</v>
      </c>
      <c r="B53">
        <v>1</v>
      </c>
      <c r="C53">
        <v>0</v>
      </c>
    </row>
    <row r="54" spans="1:3" x14ac:dyDescent="0.35">
      <c r="A54" s="10">
        <v>46082</v>
      </c>
      <c r="B54">
        <v>0</v>
      </c>
      <c r="C54">
        <v>1</v>
      </c>
    </row>
    <row r="55" spans="1:3" x14ac:dyDescent="0.35">
      <c r="A55" s="10">
        <v>46082</v>
      </c>
      <c r="B55">
        <v>1</v>
      </c>
      <c r="C55">
        <v>0</v>
      </c>
    </row>
    <row r="56" spans="1:3" x14ac:dyDescent="0.35">
      <c r="A56" s="10">
        <v>46082</v>
      </c>
      <c r="B56">
        <v>0</v>
      </c>
      <c r="C56">
        <v>1</v>
      </c>
    </row>
    <row r="57" spans="1:3" x14ac:dyDescent="0.35">
      <c r="A57" s="10">
        <v>46054</v>
      </c>
      <c r="B57">
        <v>1</v>
      </c>
      <c r="C57">
        <v>0</v>
      </c>
    </row>
    <row r="58" spans="1:3" x14ac:dyDescent="0.35">
      <c r="A58" s="10">
        <v>46082</v>
      </c>
      <c r="B58">
        <v>0</v>
      </c>
      <c r="C58">
        <v>1</v>
      </c>
    </row>
    <row r="59" spans="1:3" x14ac:dyDescent="0.35">
      <c r="A59" s="10">
        <v>46054</v>
      </c>
      <c r="B59">
        <v>1</v>
      </c>
      <c r="C59">
        <v>0</v>
      </c>
    </row>
    <row r="60" spans="1:3" x14ac:dyDescent="0.35">
      <c r="A60" s="10">
        <v>46054</v>
      </c>
      <c r="B60">
        <v>0</v>
      </c>
      <c r="C60">
        <v>1</v>
      </c>
    </row>
    <row r="61" spans="1:3" x14ac:dyDescent="0.35">
      <c r="A61" s="10">
        <v>46023</v>
      </c>
      <c r="B61">
        <v>1</v>
      </c>
      <c r="C61">
        <v>0</v>
      </c>
    </row>
    <row r="62" spans="1:3" x14ac:dyDescent="0.35">
      <c r="A62" s="10">
        <v>46023</v>
      </c>
      <c r="B62">
        <v>0</v>
      </c>
      <c r="C62">
        <v>1</v>
      </c>
    </row>
    <row r="63" spans="1:3" x14ac:dyDescent="0.35">
      <c r="A63" s="10">
        <v>46023</v>
      </c>
      <c r="B63">
        <v>1</v>
      </c>
      <c r="C63">
        <v>0</v>
      </c>
    </row>
    <row r="64" spans="1:3" x14ac:dyDescent="0.35">
      <c r="A64" s="10">
        <v>46054</v>
      </c>
      <c r="B64">
        <v>0</v>
      </c>
      <c r="C64">
        <v>1</v>
      </c>
    </row>
    <row r="65" spans="1:3" x14ac:dyDescent="0.35">
      <c r="A65" s="10">
        <v>45992</v>
      </c>
      <c r="B65">
        <v>1</v>
      </c>
      <c r="C65">
        <v>0</v>
      </c>
    </row>
    <row r="66" spans="1:3" x14ac:dyDescent="0.35">
      <c r="A66" s="10">
        <v>46023</v>
      </c>
      <c r="B66">
        <v>0</v>
      </c>
      <c r="C66">
        <v>1</v>
      </c>
    </row>
    <row r="67" spans="1:3" x14ac:dyDescent="0.35">
      <c r="A67" s="10">
        <v>45992</v>
      </c>
      <c r="B67">
        <v>1</v>
      </c>
      <c r="C67">
        <v>0</v>
      </c>
    </row>
    <row r="68" spans="1:3" x14ac:dyDescent="0.35">
      <c r="A68" s="10">
        <v>45992</v>
      </c>
      <c r="B68">
        <v>0</v>
      </c>
      <c r="C68">
        <v>1</v>
      </c>
    </row>
    <row r="69" spans="1:3" x14ac:dyDescent="0.35">
      <c r="A69" s="10">
        <v>46082</v>
      </c>
      <c r="B69">
        <v>1</v>
      </c>
      <c r="C69">
        <v>0</v>
      </c>
    </row>
    <row r="70" spans="1:3" x14ac:dyDescent="0.35">
      <c r="A70" s="10">
        <v>46082</v>
      </c>
      <c r="B70">
        <v>0</v>
      </c>
      <c r="C70">
        <v>1</v>
      </c>
    </row>
    <row r="71" spans="1:3" x14ac:dyDescent="0.35">
      <c r="A71" s="10">
        <v>45992</v>
      </c>
      <c r="B71">
        <v>1</v>
      </c>
      <c r="C71">
        <v>0</v>
      </c>
    </row>
    <row r="72" spans="1:3" x14ac:dyDescent="0.35">
      <c r="A72" s="10">
        <v>46023</v>
      </c>
      <c r="B72">
        <v>0</v>
      </c>
      <c r="C72">
        <v>1</v>
      </c>
    </row>
    <row r="73" spans="1:3" x14ac:dyDescent="0.35">
      <c r="A73" s="10">
        <v>45992</v>
      </c>
      <c r="B73">
        <v>1</v>
      </c>
      <c r="C73">
        <v>0</v>
      </c>
    </row>
    <row r="74" spans="1:3" x14ac:dyDescent="0.35">
      <c r="A74" s="10">
        <v>45992</v>
      </c>
      <c r="B74">
        <v>0</v>
      </c>
      <c r="C74">
        <v>1</v>
      </c>
    </row>
    <row r="75" spans="1:3" x14ac:dyDescent="0.35">
      <c r="A75" s="10">
        <v>46023</v>
      </c>
      <c r="B75">
        <v>1</v>
      </c>
      <c r="C75">
        <v>0</v>
      </c>
    </row>
    <row r="76" spans="1:3" x14ac:dyDescent="0.35">
      <c r="A76" s="10">
        <v>46023</v>
      </c>
      <c r="B76">
        <v>0</v>
      </c>
      <c r="C76">
        <v>1</v>
      </c>
    </row>
    <row r="77" spans="1:3" x14ac:dyDescent="0.35">
      <c r="A77" s="10">
        <v>45992</v>
      </c>
      <c r="B77">
        <v>1</v>
      </c>
      <c r="C77">
        <v>0</v>
      </c>
    </row>
    <row r="78" spans="1:3" x14ac:dyDescent="0.35">
      <c r="A78" s="10">
        <v>45992</v>
      </c>
      <c r="B78">
        <v>1</v>
      </c>
      <c r="C78">
        <v>0</v>
      </c>
    </row>
    <row r="79" spans="1:3" x14ac:dyDescent="0.35">
      <c r="A79" s="10">
        <v>45992</v>
      </c>
      <c r="B79">
        <v>0</v>
      </c>
      <c r="C79">
        <v>1</v>
      </c>
    </row>
    <row r="80" spans="1:3" x14ac:dyDescent="0.35">
      <c r="A80" s="10">
        <v>45992</v>
      </c>
      <c r="B80">
        <v>1</v>
      </c>
      <c r="C80">
        <v>0</v>
      </c>
    </row>
    <row r="81" spans="1:3" x14ac:dyDescent="0.35">
      <c r="A81" s="10">
        <v>45992</v>
      </c>
      <c r="B81">
        <v>0</v>
      </c>
      <c r="C81">
        <v>1</v>
      </c>
    </row>
    <row r="82" spans="1:3" x14ac:dyDescent="0.35">
      <c r="A82" s="10">
        <v>45931</v>
      </c>
      <c r="B82">
        <v>1</v>
      </c>
      <c r="C82">
        <v>0</v>
      </c>
    </row>
    <row r="83" spans="1:3" x14ac:dyDescent="0.35">
      <c r="A83" s="10">
        <v>45962</v>
      </c>
      <c r="B83">
        <v>1</v>
      </c>
      <c r="C83">
        <v>0</v>
      </c>
    </row>
    <row r="84" spans="1:3" x14ac:dyDescent="0.35">
      <c r="A84" s="10">
        <v>45962</v>
      </c>
      <c r="B84">
        <v>0</v>
      </c>
      <c r="C84">
        <v>1</v>
      </c>
    </row>
    <row r="85" spans="1:3" x14ac:dyDescent="0.35">
      <c r="A85" s="10">
        <v>46023</v>
      </c>
      <c r="B85">
        <v>1</v>
      </c>
      <c r="C85">
        <v>0</v>
      </c>
    </row>
    <row r="86" spans="1:3" x14ac:dyDescent="0.35">
      <c r="A86" s="10">
        <v>46054</v>
      </c>
      <c r="B86">
        <v>0</v>
      </c>
      <c r="C86">
        <v>1</v>
      </c>
    </row>
    <row r="87" spans="1:3" x14ac:dyDescent="0.35">
      <c r="A87" s="10">
        <v>45931</v>
      </c>
      <c r="B87">
        <v>1</v>
      </c>
      <c r="C87">
        <v>0</v>
      </c>
    </row>
    <row r="88" spans="1:3" x14ac:dyDescent="0.35">
      <c r="A88" s="10">
        <v>45962</v>
      </c>
      <c r="B88">
        <v>0</v>
      </c>
      <c r="C88">
        <v>1</v>
      </c>
    </row>
    <row r="89" spans="1:3" x14ac:dyDescent="0.35">
      <c r="A89" s="10">
        <v>45962</v>
      </c>
      <c r="B89">
        <v>1</v>
      </c>
      <c r="C89">
        <v>0</v>
      </c>
    </row>
    <row r="90" spans="1:3" x14ac:dyDescent="0.35">
      <c r="A90" s="10">
        <v>45962</v>
      </c>
      <c r="B90">
        <v>0</v>
      </c>
      <c r="C90">
        <v>1</v>
      </c>
    </row>
    <row r="91" spans="1:3" x14ac:dyDescent="0.35">
      <c r="A91" s="10">
        <v>45962</v>
      </c>
      <c r="B91">
        <v>1</v>
      </c>
      <c r="C91">
        <v>0</v>
      </c>
    </row>
    <row r="92" spans="1:3" x14ac:dyDescent="0.35">
      <c r="A92" s="10">
        <v>45962</v>
      </c>
      <c r="B92">
        <v>0</v>
      </c>
      <c r="C92">
        <v>1</v>
      </c>
    </row>
    <row r="93" spans="1:3" x14ac:dyDescent="0.35">
      <c r="A93" s="10">
        <v>45962</v>
      </c>
      <c r="B93">
        <v>1</v>
      </c>
      <c r="C93">
        <v>0</v>
      </c>
    </row>
    <row r="94" spans="1:3" x14ac:dyDescent="0.35">
      <c r="A94" s="10">
        <v>45962</v>
      </c>
      <c r="B94">
        <v>0</v>
      </c>
      <c r="C94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C11" sqref="C11"/>
    </sheetView>
  </sheetViews>
  <sheetFormatPr defaultRowHeight="14.5" x14ac:dyDescent="0.35"/>
  <cols>
    <col min="1" max="1" width="14.7265625" customWidth="1"/>
    <col min="2" max="2" width="15.26953125" bestFit="1" customWidth="1"/>
    <col min="3" max="3" width="12.7265625" bestFit="1" customWidth="1"/>
  </cols>
  <sheetData>
    <row r="1" spans="1:3" ht="18.5" x14ac:dyDescent="0.45">
      <c r="A1" s="12" t="s">
        <v>297</v>
      </c>
      <c r="B1" s="12"/>
      <c r="C1" s="12"/>
    </row>
    <row r="4" spans="1:3" x14ac:dyDescent="0.35">
      <c r="A4" s="11" t="s">
        <v>294</v>
      </c>
      <c r="B4" t="s">
        <v>295</v>
      </c>
      <c r="C4" t="s">
        <v>296</v>
      </c>
    </row>
    <row r="5" spans="1:3" x14ac:dyDescent="0.35">
      <c r="A5" s="10">
        <v>45931</v>
      </c>
      <c r="B5">
        <v>2</v>
      </c>
      <c r="C5">
        <v>0</v>
      </c>
    </row>
    <row r="6" spans="1:3" x14ac:dyDescent="0.35">
      <c r="A6" s="10">
        <v>45962</v>
      </c>
      <c r="B6">
        <v>4</v>
      </c>
      <c r="C6">
        <v>5</v>
      </c>
    </row>
    <row r="7" spans="1:3" x14ac:dyDescent="0.35">
      <c r="A7" s="10">
        <v>45992</v>
      </c>
      <c r="B7">
        <v>7</v>
      </c>
      <c r="C7">
        <v>4</v>
      </c>
    </row>
    <row r="8" spans="1:3" x14ac:dyDescent="0.35">
      <c r="A8" s="10">
        <v>46023</v>
      </c>
      <c r="B8">
        <v>4</v>
      </c>
      <c r="C8">
        <v>4</v>
      </c>
    </row>
    <row r="9" spans="1:3" x14ac:dyDescent="0.35">
      <c r="A9" s="10">
        <v>46054</v>
      </c>
      <c r="B9">
        <v>3</v>
      </c>
      <c r="C9">
        <v>3</v>
      </c>
    </row>
    <row r="10" spans="1:3" x14ac:dyDescent="0.35">
      <c r="A10" s="10">
        <v>46082</v>
      </c>
      <c r="B10">
        <v>8</v>
      </c>
      <c r="C10">
        <v>8</v>
      </c>
    </row>
    <row r="11" spans="1:3" x14ac:dyDescent="0.35">
      <c r="A11" s="10">
        <v>46113</v>
      </c>
      <c r="B11">
        <v>1</v>
      </c>
      <c r="C11">
        <v>2</v>
      </c>
    </row>
    <row r="12" spans="1:3" x14ac:dyDescent="0.35">
      <c r="A12" s="10">
        <v>46143</v>
      </c>
      <c r="B12">
        <v>5</v>
      </c>
      <c r="C12">
        <v>4</v>
      </c>
    </row>
    <row r="13" spans="1:3" x14ac:dyDescent="0.35">
      <c r="A13" s="10">
        <v>46174</v>
      </c>
      <c r="B13">
        <v>3</v>
      </c>
      <c r="C13">
        <v>4</v>
      </c>
    </row>
    <row r="14" spans="1:3" x14ac:dyDescent="0.35">
      <c r="A14" s="10">
        <v>46204</v>
      </c>
      <c r="B14">
        <v>8</v>
      </c>
      <c r="C14">
        <v>4</v>
      </c>
    </row>
    <row r="15" spans="1:3" x14ac:dyDescent="0.35">
      <c r="A15" s="10">
        <v>46235</v>
      </c>
      <c r="B15">
        <v>2</v>
      </c>
      <c r="C15">
        <v>5</v>
      </c>
    </row>
    <row r="16" spans="1:3" x14ac:dyDescent="0.35">
      <c r="A16" s="10">
        <v>46266</v>
      </c>
      <c r="B16">
        <v>2</v>
      </c>
      <c r="C16">
        <v>1</v>
      </c>
    </row>
    <row r="17" spans="1:3" x14ac:dyDescent="0.35">
      <c r="A17" s="10" t="s">
        <v>298</v>
      </c>
      <c r="B17">
        <v>49</v>
      </c>
      <c r="C17">
        <v>44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FileName</vt:lpstr>
      <vt:lpstr>Pivot Source</vt:lpstr>
      <vt:lpstr>Pivot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Karthik k</dc:creator>
  <cp:keywords/>
  <dc:description/>
  <cp:lastModifiedBy>LENOVO</cp:lastModifiedBy>
  <cp:revision/>
  <dcterms:created xsi:type="dcterms:W3CDTF">2026-09-10T07:44:38Z</dcterms:created>
  <dcterms:modified xsi:type="dcterms:W3CDTF">2026-09-11T05:11:54Z</dcterms:modified>
  <cp:category/>
  <cp:contentStatus/>
</cp:coreProperties>
</file>